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osOnline\dados_excel\"/>
    </mc:Choice>
  </mc:AlternateContent>
  <xr:revisionPtr revIDLastSave="0" documentId="13_ncr:1_{A3C52EFB-6166-4CDF-ABDB-E2111AA04C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ximas&amp;Minimas" sheetId="1" r:id="rId1"/>
  </sheet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2" i="1"/>
</calcChain>
</file>

<file path=xl/sharedStrings.xml><?xml version="1.0" encoding="utf-8"?>
<sst xmlns="http://schemas.openxmlformats.org/spreadsheetml/2006/main" count="770" uniqueCount="383">
  <si>
    <t>Ano</t>
  </si>
  <si>
    <t>Cota Mínima</t>
  </si>
  <si>
    <t>Cota Máxima</t>
  </si>
  <si>
    <t>Mês da Cota Mínima</t>
  </si>
  <si>
    <t>Mês da Cota Máxima</t>
  </si>
  <si>
    <t>Dia da Mínima</t>
  </si>
  <si>
    <t>Dia da Máxima</t>
  </si>
  <si>
    <t>Início da vazante</t>
  </si>
  <si>
    <t>Cota de Início da vazante</t>
  </si>
  <si>
    <t>Final da vazante</t>
  </si>
  <si>
    <t>Cota mínima da vazante</t>
  </si>
  <si>
    <t>novembro</t>
  </si>
  <si>
    <t>junho</t>
  </si>
  <si>
    <t>06/novembro</t>
  </si>
  <si>
    <t>25/junho</t>
  </si>
  <si>
    <t>25/06/1903</t>
  </si>
  <si>
    <t>09/11/1903</t>
  </si>
  <si>
    <t>dezembro</t>
  </si>
  <si>
    <t>04/dezembro</t>
  </si>
  <si>
    <t>26/junho</t>
  </si>
  <si>
    <t>27/06/1904</t>
  </si>
  <si>
    <t>04/12/1904</t>
  </si>
  <si>
    <t>outubro</t>
  </si>
  <si>
    <t>10/outubro</t>
  </si>
  <si>
    <t>22/junho</t>
  </si>
  <si>
    <t>30/06/1905</t>
  </si>
  <si>
    <t>14/10/1905</t>
  </si>
  <si>
    <t>13/novembro</t>
  </si>
  <si>
    <t>05/junho</t>
  </si>
  <si>
    <t>06/06/1906</t>
  </si>
  <si>
    <t>13/11/1906</t>
  </si>
  <si>
    <t>janeiro</t>
  </si>
  <si>
    <t>02/janeiro</t>
  </si>
  <si>
    <t>09/junho</t>
  </si>
  <si>
    <t>13/06/1907</t>
  </si>
  <si>
    <t>10/11/1907</t>
  </si>
  <si>
    <t>30/outubro</t>
  </si>
  <si>
    <t>11/06/1908</t>
  </si>
  <si>
    <t>30/10/1908</t>
  </si>
  <si>
    <t>23/outubro</t>
  </si>
  <si>
    <t>14/junho</t>
  </si>
  <si>
    <t>14/06/1909</t>
  </si>
  <si>
    <t>23/10/1909</t>
  </si>
  <si>
    <t>julho</t>
  </si>
  <si>
    <t>01/janeiro</t>
  </si>
  <si>
    <t>02/julho</t>
  </si>
  <si>
    <t>05/07/1910</t>
  </si>
  <si>
    <t>01/11/1910</t>
  </si>
  <si>
    <t>22/06/1911</t>
  </si>
  <si>
    <t>24/10/1911</t>
  </si>
  <si>
    <t>30/novembro</t>
  </si>
  <si>
    <t>19/junho</t>
  </si>
  <si>
    <t>22/06/1912</t>
  </si>
  <si>
    <t>30/11/1912</t>
  </si>
  <si>
    <t>14/novembro</t>
  </si>
  <si>
    <t>29/junho</t>
  </si>
  <si>
    <t>05/07/1913</t>
  </si>
  <si>
    <t>14/11/1913</t>
  </si>
  <si>
    <t>12/dezembro</t>
  </si>
  <si>
    <t>17/junho</t>
  </si>
  <si>
    <t>24/06/1914</t>
  </si>
  <si>
    <t>14/12/1914</t>
  </si>
  <si>
    <t>maio</t>
  </si>
  <si>
    <t>27/maio</t>
  </si>
  <si>
    <t>31/05/1915</t>
  </si>
  <si>
    <t>08/11/1915</t>
  </si>
  <si>
    <t>17/outubro</t>
  </si>
  <si>
    <t>08/junho</t>
  </si>
  <si>
    <t>10/06/1916</t>
  </si>
  <si>
    <t>17/10/1916</t>
  </si>
  <si>
    <t>14/outubro</t>
  </si>
  <si>
    <t>13/junho</t>
  </si>
  <si>
    <t>15/06/1917</t>
  </si>
  <si>
    <t>15/10/1917</t>
  </si>
  <si>
    <t>15/outubro</t>
  </si>
  <si>
    <t>12/junho</t>
  </si>
  <si>
    <t>17/06/1918</t>
  </si>
  <si>
    <t>15/10/1918</t>
  </si>
  <si>
    <t>26/outubro</t>
  </si>
  <si>
    <t>09/06/1919</t>
  </si>
  <si>
    <t>26/10/1919</t>
  </si>
  <si>
    <t>15/dezembro</t>
  </si>
  <si>
    <t>06/julho</t>
  </si>
  <si>
    <t>06/07/1920</t>
  </si>
  <si>
    <t>30/10/1920</t>
  </si>
  <si>
    <t>29/outubro</t>
  </si>
  <si>
    <t>17/06/1921</t>
  </si>
  <si>
    <t>01/11/1921</t>
  </si>
  <si>
    <t>22/novembro</t>
  </si>
  <si>
    <t>21/06/1922</t>
  </si>
  <si>
    <t>22/11/1922</t>
  </si>
  <si>
    <t>24/junho</t>
  </si>
  <si>
    <t>24/06/1923</t>
  </si>
  <si>
    <t>30/11/1923</t>
  </si>
  <si>
    <t>01/outubro</t>
  </si>
  <si>
    <t>05/julho</t>
  </si>
  <si>
    <t>06/07/1924</t>
  </si>
  <si>
    <t>02/10/1924</t>
  </si>
  <si>
    <t>16/novembro</t>
  </si>
  <si>
    <t>03/07/1925</t>
  </si>
  <si>
    <t>17/11/1925</t>
  </si>
  <si>
    <t>12/outubro</t>
  </si>
  <si>
    <t>07/07/1926</t>
  </si>
  <si>
    <t>13/10/1926</t>
  </si>
  <si>
    <t>22/outubro</t>
  </si>
  <si>
    <t>11/junho</t>
  </si>
  <si>
    <t>11/06/1927</t>
  </si>
  <si>
    <t>23/10/1927</t>
  </si>
  <si>
    <t>05/outubro</t>
  </si>
  <si>
    <t>15/junho</t>
  </si>
  <si>
    <t>15/06/1928</t>
  </si>
  <si>
    <t>06/10/1928</t>
  </si>
  <si>
    <t>04/novembro</t>
  </si>
  <si>
    <t>20/junho</t>
  </si>
  <si>
    <t>21/06/1929</t>
  </si>
  <si>
    <t>04/11/1929</t>
  </si>
  <si>
    <t>27/novembro</t>
  </si>
  <si>
    <t>23/junho</t>
  </si>
  <si>
    <t>01/07/1930</t>
  </si>
  <si>
    <t>29/11/1930</t>
  </si>
  <si>
    <t>13/outubro</t>
  </si>
  <si>
    <t>06/junho</t>
  </si>
  <si>
    <t>09/06/1931</t>
  </si>
  <si>
    <t>13/10/1931</t>
  </si>
  <si>
    <t>19/06/1932</t>
  </si>
  <si>
    <t>01/11/1932</t>
  </si>
  <si>
    <t>25/outubro</t>
  </si>
  <si>
    <t>25/06/1933</t>
  </si>
  <si>
    <t>26/10/1933</t>
  </si>
  <si>
    <t>29/06/1934</t>
  </si>
  <si>
    <t>26/10/1934</t>
  </si>
  <si>
    <t>05/novembro</t>
  </si>
  <si>
    <t>17/06/1935</t>
  </si>
  <si>
    <t>07/11/1935</t>
  </si>
  <si>
    <t>setembro</t>
  </si>
  <si>
    <t>29/setembro</t>
  </si>
  <si>
    <t>20/maio</t>
  </si>
  <si>
    <t>25/05/1936</t>
  </si>
  <si>
    <t>29/09/1936</t>
  </si>
  <si>
    <t>13/dezembro</t>
  </si>
  <si>
    <t>21/06/1937</t>
  </si>
  <si>
    <t>13/12/1937</t>
  </si>
  <si>
    <t>04/janeiro</t>
  </si>
  <si>
    <t>19/06/1938</t>
  </si>
  <si>
    <t>19/10/1938</t>
  </si>
  <si>
    <t>23/06/1939</t>
  </si>
  <si>
    <t>16/12/1939</t>
  </si>
  <si>
    <t>14/dezembro</t>
  </si>
  <si>
    <t>30/junho</t>
  </si>
  <si>
    <t>02/07/1940</t>
  </si>
  <si>
    <t>14/10/1940</t>
  </si>
  <si>
    <t>21/outubro</t>
  </si>
  <si>
    <t>28/maio</t>
  </si>
  <si>
    <t>03/06/1941</t>
  </si>
  <si>
    <t>22/10/1941</t>
  </si>
  <si>
    <t>26/06/1942</t>
  </si>
  <si>
    <t>23/10/1942</t>
  </si>
  <si>
    <t>02/07/1943</t>
  </si>
  <si>
    <t>06/11/1943</t>
  </si>
  <si>
    <t>17/novembro</t>
  </si>
  <si>
    <t>24/06/1944</t>
  </si>
  <si>
    <t>20/11/1944</t>
  </si>
  <si>
    <t>20/outubro</t>
  </si>
  <si>
    <t>18/junho</t>
  </si>
  <si>
    <t>21/06/1945</t>
  </si>
  <si>
    <t>21/10/1945</t>
  </si>
  <si>
    <t>09/06/1946</t>
  </si>
  <si>
    <t>07/11/1946</t>
  </si>
  <si>
    <t>14/julho</t>
  </si>
  <si>
    <t>14/07/1947</t>
  </si>
  <si>
    <t>25/10/1947</t>
  </si>
  <si>
    <t>18/outubro</t>
  </si>
  <si>
    <t>16/junho</t>
  </si>
  <si>
    <t>16/06/1948</t>
  </si>
  <si>
    <t>19/10/1948</t>
  </si>
  <si>
    <t>12/janeiro</t>
  </si>
  <si>
    <t>18/06/1949</t>
  </si>
  <si>
    <t>01/11/1949</t>
  </si>
  <si>
    <t>10/novembro</t>
  </si>
  <si>
    <t>20/06/1950</t>
  </si>
  <si>
    <t>11/11/1950</t>
  </si>
  <si>
    <t>07/novembro</t>
  </si>
  <si>
    <t>03/julho</t>
  </si>
  <si>
    <t>06/07/1951</t>
  </si>
  <si>
    <t>09/11/1951</t>
  </si>
  <si>
    <t>07/junho</t>
  </si>
  <si>
    <t>11/06/1952</t>
  </si>
  <si>
    <t>30/10/1952</t>
  </si>
  <si>
    <t>31/outubro</t>
  </si>
  <si>
    <t>09/06/1953</t>
  </si>
  <si>
    <t>01/11/1953</t>
  </si>
  <si>
    <t>23/06/1954</t>
  </si>
  <si>
    <t>18/10/1954</t>
  </si>
  <si>
    <t>24/novembro</t>
  </si>
  <si>
    <t>21/junho</t>
  </si>
  <si>
    <t>28/06/1955</t>
  </si>
  <si>
    <t>24/11/1955</t>
  </si>
  <si>
    <t>25/06/1956</t>
  </si>
  <si>
    <t>24/10/1956</t>
  </si>
  <si>
    <t>09/julho</t>
  </si>
  <si>
    <t>09/07/1957</t>
  </si>
  <si>
    <t>22/10/1957</t>
  </si>
  <si>
    <t>04/06/1958</t>
  </si>
  <si>
    <t>20/10/1958</t>
  </si>
  <si>
    <t>01/07/1959</t>
  </si>
  <si>
    <t>31/10/1959</t>
  </si>
  <si>
    <t>01/novembro</t>
  </si>
  <si>
    <t>28/junho</t>
  </si>
  <si>
    <t>29/06/1960</t>
  </si>
  <si>
    <t>04/11/1960</t>
  </si>
  <si>
    <t>07/julho</t>
  </si>
  <si>
    <t>07/07/1961</t>
  </si>
  <si>
    <t>14/10/1961</t>
  </si>
  <si>
    <t>04/julho</t>
  </si>
  <si>
    <t>06/07/1962</t>
  </si>
  <si>
    <t>26/10/1962</t>
  </si>
  <si>
    <t>19/06/1963</t>
  </si>
  <si>
    <t>31/10/1963</t>
  </si>
  <si>
    <t>março</t>
  </si>
  <si>
    <t>01/março</t>
  </si>
  <si>
    <t>13/julho</t>
  </si>
  <si>
    <t>14/07/1964</t>
  </si>
  <si>
    <t>28/11/1964</t>
  </si>
  <si>
    <t>18/06/1965</t>
  </si>
  <si>
    <t>06/11/1965</t>
  </si>
  <si>
    <t>11/novembro</t>
  </si>
  <si>
    <t>22/06/1966</t>
  </si>
  <si>
    <t>11/11/1966</t>
  </si>
  <si>
    <t>20/06/1967</t>
  </si>
  <si>
    <t>27/10/1967</t>
  </si>
  <si>
    <t>04/junho</t>
  </si>
  <si>
    <t>04/06/1968</t>
  </si>
  <si>
    <t>16/11/1968</t>
  </si>
  <si>
    <t>02/dezembro</t>
  </si>
  <si>
    <t>26/maio</t>
  </si>
  <si>
    <t>31/05/1969</t>
  </si>
  <si>
    <t>05/12/1969</t>
  </si>
  <si>
    <t>12/novembro</t>
  </si>
  <si>
    <t>28/06/1970</t>
  </si>
  <si>
    <t>13/11/1970</t>
  </si>
  <si>
    <t>28/06/1971</t>
  </si>
  <si>
    <t>08/11/1971</t>
  </si>
  <si>
    <t>22/06/1972</t>
  </si>
  <si>
    <t>12/11/1972</t>
  </si>
  <si>
    <t>20/novembro</t>
  </si>
  <si>
    <t>07/07/1973</t>
  </si>
  <si>
    <t>21/11/1973</t>
  </si>
  <si>
    <t>04/07/1974</t>
  </si>
  <si>
    <t>10/12/1974</t>
  </si>
  <si>
    <t>28/novembro</t>
  </si>
  <si>
    <t>25/06/1975</t>
  </si>
  <si>
    <t>29/11/1975</t>
  </si>
  <si>
    <t>17/06/1976</t>
  </si>
  <si>
    <t>22/11/1976</t>
  </si>
  <si>
    <t>29/06/1977</t>
  </si>
  <si>
    <t>15/10/1977</t>
  </si>
  <si>
    <t>05/dezembro</t>
  </si>
  <si>
    <t>20/06/1978</t>
  </si>
  <si>
    <t>07/12/1978</t>
  </si>
  <si>
    <t>26/06/1979</t>
  </si>
  <si>
    <t>22/10/1979</t>
  </si>
  <si>
    <t>08/outubro</t>
  </si>
  <si>
    <t>01/julho</t>
  </si>
  <si>
    <t>03/07/1980</t>
  </si>
  <si>
    <t>12/10/1980</t>
  </si>
  <si>
    <t>23/06/1981</t>
  </si>
  <si>
    <t>15/11/1981</t>
  </si>
  <si>
    <t>02/novembro</t>
  </si>
  <si>
    <t>26/06/1982</t>
  </si>
  <si>
    <t>04/11/1982</t>
  </si>
  <si>
    <t>24/outubro</t>
  </si>
  <si>
    <t>08/06/1983</t>
  </si>
  <si>
    <t>25/10/1983</t>
  </si>
  <si>
    <t>23/06/1984</t>
  </si>
  <si>
    <t>01/11/1984</t>
  </si>
  <si>
    <t>04/07/1985</t>
  </si>
  <si>
    <t>28/11/1985</t>
  </si>
  <si>
    <t>16/julho</t>
  </si>
  <si>
    <t>18/07/1986</t>
  </si>
  <si>
    <t>15/10/1986</t>
  </si>
  <si>
    <t>11/06/1987</t>
  </si>
  <si>
    <t>10/11/1987</t>
  </si>
  <si>
    <t>30/06/1988</t>
  </si>
  <si>
    <t>14/10/1988</t>
  </si>
  <si>
    <t>31/dezembro</t>
  </si>
  <si>
    <t>06/07/1989</t>
  </si>
  <si>
    <t>21/10/1989</t>
  </si>
  <si>
    <t>19/06/1990</t>
  </si>
  <si>
    <t>02/11/1990</t>
  </si>
  <si>
    <t>08/07/1991</t>
  </si>
  <si>
    <t>07/11/1991</t>
  </si>
  <si>
    <t>24/05/1992</t>
  </si>
  <si>
    <t>13/11/1992</t>
  </si>
  <si>
    <t>27/outubro</t>
  </si>
  <si>
    <t>10/06/1993</t>
  </si>
  <si>
    <t>28/10/1993</t>
  </si>
  <si>
    <t>25/novembro</t>
  </si>
  <si>
    <t>27/06/1994</t>
  </si>
  <si>
    <t>30/11/1994</t>
  </si>
  <si>
    <t>02/07/1995</t>
  </si>
  <si>
    <t>30/10/1995</t>
  </si>
  <si>
    <t>19/outubro</t>
  </si>
  <si>
    <t>22/06/1996</t>
  </si>
  <si>
    <t>23/10/1996</t>
  </si>
  <si>
    <t>10/junho</t>
  </si>
  <si>
    <t>12/06/1997</t>
  </si>
  <si>
    <t>05/11/1997</t>
  </si>
  <si>
    <t>07/07/1998</t>
  </si>
  <si>
    <t>31/10/1998</t>
  </si>
  <si>
    <t>28/06/1999</t>
  </si>
  <si>
    <t>23/11/1999</t>
  </si>
  <si>
    <t>11/dezembro</t>
  </si>
  <si>
    <t>04/07/2000</t>
  </si>
  <si>
    <t>12/12/2000</t>
  </si>
  <si>
    <t>23/06/2001</t>
  </si>
  <si>
    <t>31/10/2001</t>
  </si>
  <si>
    <t>27/junho</t>
  </si>
  <si>
    <t>30/06/2002</t>
  </si>
  <si>
    <t>01/11/2002</t>
  </si>
  <si>
    <t>02/07/2003</t>
  </si>
  <si>
    <t>12/11/2003</t>
  </si>
  <si>
    <t>14/06/2004</t>
  </si>
  <si>
    <t>21/11/2004</t>
  </si>
  <si>
    <t>01/junho</t>
  </si>
  <si>
    <t>04/06/2005</t>
  </si>
  <si>
    <t>26/10/2005</t>
  </si>
  <si>
    <t>11/06/2006</t>
  </si>
  <si>
    <t>26/10/2006</t>
  </si>
  <si>
    <t>23/06/2007</t>
  </si>
  <si>
    <t>28/10/2007</t>
  </si>
  <si>
    <t>28/outubro</t>
  </si>
  <si>
    <t>24/06/2008</t>
  </si>
  <si>
    <t>29/10/2008</t>
  </si>
  <si>
    <t>03/dezembro</t>
  </si>
  <si>
    <t>02/07/2009</t>
  </si>
  <si>
    <t>04/12/2009</t>
  </si>
  <si>
    <t>12/06/2010</t>
  </si>
  <si>
    <t>24/10/2010</t>
  </si>
  <si>
    <t>29/06/2011</t>
  </si>
  <si>
    <t>11/10/2011</t>
  </si>
  <si>
    <t>29/maio</t>
  </si>
  <si>
    <t>01/06/2012</t>
  </si>
  <si>
    <t>27/11/2012</t>
  </si>
  <si>
    <t>16/06/2013</t>
  </si>
  <si>
    <t>04/11/2013</t>
  </si>
  <si>
    <t>08/07/2014</t>
  </si>
  <si>
    <t>29/10/2014</t>
  </si>
  <si>
    <t>29/06/2015</t>
  </si>
  <si>
    <t>28/10/2015</t>
  </si>
  <si>
    <t>16/06/2016</t>
  </si>
  <si>
    <t>15/12/2016</t>
  </si>
  <si>
    <t>06/outubro</t>
  </si>
  <si>
    <t>03/junho</t>
  </si>
  <si>
    <t>05/06/2017</t>
  </si>
  <si>
    <t>06/10/2017</t>
  </si>
  <si>
    <t>28/06/2018</t>
  </si>
  <si>
    <t>08/11/2018</t>
  </si>
  <si>
    <t>25/06/2019</t>
  </si>
  <si>
    <t>25/10/2019</t>
  </si>
  <si>
    <t>20/06/2020</t>
  </si>
  <si>
    <t>07/11/2020</t>
  </si>
  <si>
    <t>20/06/2021</t>
  </si>
  <si>
    <t>05/11/2021</t>
  </si>
  <si>
    <t>25/06/2022</t>
  </si>
  <si>
    <t>28/10/2022</t>
  </si>
  <si>
    <t>17/06/2023</t>
  </si>
  <si>
    <t>28/10/2023</t>
  </si>
  <si>
    <t>22/06/2024</t>
  </si>
  <si>
    <t>03/11/2024</t>
  </si>
  <si>
    <t>mínimo</t>
  </si>
  <si>
    <t>máximo</t>
  </si>
  <si>
    <t>média</t>
  </si>
  <si>
    <t>atual</t>
  </si>
  <si>
    <t>Mês</t>
  </si>
  <si>
    <t>Frequência de mínimas</t>
  </si>
  <si>
    <t>Frequência de cheias</t>
  </si>
  <si>
    <t>fevereiro</t>
  </si>
  <si>
    <t>abril</t>
  </si>
  <si>
    <t>agosto</t>
  </si>
  <si>
    <t>Data</t>
  </si>
  <si>
    <t>vareabilidade</t>
  </si>
  <si>
    <t>06/07/2025</t>
  </si>
  <si>
    <t>28/10/2025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</si>
</sst>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tabSelected="1" topLeftCell="E113" zoomScale="70" zoomScaleNormal="70" workbookViewId="0">
      <selection activeCell="L126" sqref="L126"/>
    </sheetView>
  </sheetViews>
  <sheetFormatPr defaultRowHeight="15" x14ac:dyDescent="0.25"/>
  <cols>
    <col min="1" max="1" width="9.140625" style="2"/>
    <col min="4" max="4" width="20.28515625" bestFit="1" customWidth="1"/>
    <col min="5" max="5" width="20.7109375" bestFit="1" customWidth="1"/>
    <col min="6" max="6" width="14.42578125" bestFit="1" customWidth="1"/>
    <col min="7" max="7" width="14.85546875" bestFit="1" customWidth="1"/>
    <col min="8" max="8" width="15.7109375" bestFit="1" customWidth="1"/>
    <col min="9" max="9" width="23.140625" style="2" bestFit="1" customWidth="1"/>
    <col min="10" max="10" width="15.28515625" bestFit="1" customWidth="1"/>
    <col min="11" max="11" width="24.28515625" style="2" bestFit="1" customWidth="1"/>
    <col min="12" max="12" width="14" style="4" bestFit="1" customWidth="1"/>
    <col min="13" max="13" width="12.42578125" style="1" bestFit="1" customWidth="1"/>
    <col min="16" max="16" width="9.5703125" bestFit="1" customWidth="1"/>
    <col min="20" max="20" width="23.5703125" style="4" bestFit="1" customWidth="1"/>
    <col min="21" max="21" width="22.140625" style="4" bestFit="1" customWidth="1"/>
  </cols>
  <sheetData>
    <row r="1" spans="1:21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s="4" t="s">
        <v>380</v>
      </c>
      <c r="M1" s="1" t="s">
        <v>379</v>
      </c>
      <c r="N1" t="s">
        <v>369</v>
      </c>
      <c r="O1" t="s">
        <v>370</v>
      </c>
      <c r="P1" t="s">
        <v>371</v>
      </c>
      <c r="Q1" s="3" t="s">
        <v>372</v>
      </c>
      <c r="S1" t="s">
        <v>373</v>
      </c>
      <c r="T1" s="4" t="s">
        <v>374</v>
      </c>
      <c r="U1" s="4" t="s">
        <v>375</v>
      </c>
    </row>
    <row r="2" spans="1:21" x14ac:dyDescent="0.25">
      <c r="A2" s="2">
        <v>1903</v>
      </c>
      <c r="B2">
        <v>1625</v>
      </c>
      <c r="C2">
        <v>2752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2">
        <v>2752</v>
      </c>
      <c r="J2" t="s">
        <v>16</v>
      </c>
      <c r="K2" s="2">
        <v>1625</v>
      </c>
      <c r="L2" s="4">
        <f>I2-K2</f>
        <v>1127</v>
      </c>
      <c r="M2" s="1">
        <v>46023</v>
      </c>
      <c r="N2">
        <v>1540</v>
      </c>
      <c r="O2">
        <v>2388</v>
      </c>
      <c r="P2" s="2">
        <v>2045.6065573770493</v>
      </c>
      <c r="Q2">
        <v>2203</v>
      </c>
      <c r="S2" t="s">
        <v>31</v>
      </c>
      <c r="T2">
        <v>0</v>
      </c>
      <c r="U2">
        <v>0</v>
      </c>
    </row>
    <row r="3" spans="1:21" x14ac:dyDescent="0.25">
      <c r="A3" s="2">
        <v>1904</v>
      </c>
      <c r="B3">
        <v>1752</v>
      </c>
      <c r="C3">
        <v>2878</v>
      </c>
      <c r="D3" t="s">
        <v>17</v>
      </c>
      <c r="E3" t="s">
        <v>12</v>
      </c>
      <c r="F3" t="s">
        <v>18</v>
      </c>
      <c r="G3" t="s">
        <v>19</v>
      </c>
      <c r="H3" t="s">
        <v>20</v>
      </c>
      <c r="I3" s="2">
        <v>2878</v>
      </c>
      <c r="J3" t="s">
        <v>21</v>
      </c>
      <c r="K3" s="2">
        <v>1752</v>
      </c>
      <c r="L3" s="4">
        <f t="shared" ref="L3:L66" si="0">I3-K3</f>
        <v>1126</v>
      </c>
      <c r="M3" s="1">
        <v>46024</v>
      </c>
      <c r="N3">
        <v>1539</v>
      </c>
      <c r="O3">
        <v>2395</v>
      </c>
      <c r="P3" s="2">
        <v>2050.811475409836</v>
      </c>
      <c r="Q3">
        <v>2204</v>
      </c>
      <c r="S3" t="s">
        <v>376</v>
      </c>
      <c r="T3">
        <v>0</v>
      </c>
      <c r="U3">
        <v>0</v>
      </c>
    </row>
    <row r="4" spans="1:21" x14ac:dyDescent="0.25">
      <c r="A4" s="2">
        <v>1905</v>
      </c>
      <c r="B4">
        <v>1752</v>
      </c>
      <c r="C4">
        <v>2607</v>
      </c>
      <c r="D4" t="s">
        <v>22</v>
      </c>
      <c r="E4" t="s">
        <v>12</v>
      </c>
      <c r="F4" t="s">
        <v>23</v>
      </c>
      <c r="G4" t="s">
        <v>24</v>
      </c>
      <c r="H4" t="s">
        <v>25</v>
      </c>
      <c r="I4" s="2">
        <v>2607</v>
      </c>
      <c r="J4" t="s">
        <v>26</v>
      </c>
      <c r="K4" s="2">
        <v>1752</v>
      </c>
      <c r="L4" s="4">
        <f t="shared" si="0"/>
        <v>855</v>
      </c>
      <c r="M4" s="1">
        <v>46025</v>
      </c>
      <c r="N4">
        <v>1547</v>
      </c>
      <c r="O4">
        <v>2402</v>
      </c>
      <c r="P4" s="2">
        <v>2056.3524590163934</v>
      </c>
      <c r="Q4">
        <v>2204</v>
      </c>
      <c r="S4" t="s">
        <v>218</v>
      </c>
      <c r="T4">
        <v>0</v>
      </c>
      <c r="U4">
        <v>0</v>
      </c>
    </row>
    <row r="5" spans="1:21" x14ac:dyDescent="0.25">
      <c r="A5" s="2">
        <v>1906</v>
      </c>
      <c r="B5">
        <v>1420</v>
      </c>
      <c r="C5">
        <v>2601</v>
      </c>
      <c r="D5" t="s">
        <v>11</v>
      </c>
      <c r="E5" t="s">
        <v>12</v>
      </c>
      <c r="F5" t="s">
        <v>27</v>
      </c>
      <c r="G5" t="s">
        <v>28</v>
      </c>
      <c r="H5" t="s">
        <v>29</v>
      </c>
      <c r="I5" s="2">
        <v>2601</v>
      </c>
      <c r="J5" t="s">
        <v>30</v>
      </c>
      <c r="K5" s="2">
        <v>1420</v>
      </c>
      <c r="L5" s="4">
        <f t="shared" si="0"/>
        <v>1181</v>
      </c>
      <c r="M5" s="1">
        <v>46026</v>
      </c>
      <c r="N5">
        <v>1557</v>
      </c>
      <c r="O5">
        <v>2407</v>
      </c>
      <c r="P5" s="2">
        <v>2061.4180327868853</v>
      </c>
      <c r="Q5">
        <v>2204</v>
      </c>
      <c r="S5" t="s">
        <v>377</v>
      </c>
      <c r="T5">
        <v>0</v>
      </c>
      <c r="U5">
        <v>0</v>
      </c>
    </row>
    <row r="6" spans="1:21" x14ac:dyDescent="0.25">
      <c r="A6" s="2">
        <v>1907</v>
      </c>
      <c r="B6">
        <v>1539</v>
      </c>
      <c r="C6">
        <v>2719</v>
      </c>
      <c r="D6" t="s">
        <v>31</v>
      </c>
      <c r="E6" t="s">
        <v>12</v>
      </c>
      <c r="F6" t="s">
        <v>32</v>
      </c>
      <c r="G6" t="s">
        <v>33</v>
      </c>
      <c r="H6" t="s">
        <v>34</v>
      </c>
      <c r="I6" s="2">
        <v>2719</v>
      </c>
      <c r="J6" t="s">
        <v>35</v>
      </c>
      <c r="K6" s="2">
        <v>1644</v>
      </c>
      <c r="L6" s="4">
        <f t="shared" si="0"/>
        <v>1075</v>
      </c>
      <c r="M6" s="1">
        <v>46027</v>
      </c>
      <c r="N6">
        <v>1569</v>
      </c>
      <c r="O6">
        <v>2413</v>
      </c>
      <c r="P6" s="2">
        <v>2066.8278688524592</v>
      </c>
      <c r="Q6">
        <v>2204</v>
      </c>
      <c r="S6" t="s">
        <v>62</v>
      </c>
      <c r="T6">
        <v>0</v>
      </c>
      <c r="U6">
        <v>4</v>
      </c>
    </row>
    <row r="7" spans="1:21" x14ac:dyDescent="0.25">
      <c r="A7" s="2">
        <v>1908</v>
      </c>
      <c r="B7">
        <v>1809</v>
      </c>
      <c r="C7">
        <v>2892</v>
      </c>
      <c r="D7" t="s">
        <v>22</v>
      </c>
      <c r="E7" t="s">
        <v>12</v>
      </c>
      <c r="F7" t="s">
        <v>36</v>
      </c>
      <c r="G7" t="s">
        <v>33</v>
      </c>
      <c r="H7" t="s">
        <v>37</v>
      </c>
      <c r="I7" s="2">
        <v>2892</v>
      </c>
      <c r="J7" t="s">
        <v>38</v>
      </c>
      <c r="K7" s="2">
        <v>1809</v>
      </c>
      <c r="L7" s="4">
        <f t="shared" si="0"/>
        <v>1083</v>
      </c>
      <c r="M7" s="1">
        <v>46028</v>
      </c>
      <c r="N7">
        <v>1582</v>
      </c>
      <c r="O7">
        <v>2418</v>
      </c>
      <c r="P7" s="2">
        <v>2072.3852459016393</v>
      </c>
      <c r="Q7">
        <v>2204</v>
      </c>
      <c r="S7" t="s">
        <v>12</v>
      </c>
      <c r="T7">
        <v>0</v>
      </c>
      <c r="U7">
        <v>89</v>
      </c>
    </row>
    <row r="8" spans="1:21" x14ac:dyDescent="0.25">
      <c r="A8" s="2">
        <v>1909</v>
      </c>
      <c r="B8">
        <v>1504</v>
      </c>
      <c r="C8">
        <v>2917</v>
      </c>
      <c r="D8" t="s">
        <v>22</v>
      </c>
      <c r="E8" t="s">
        <v>12</v>
      </c>
      <c r="F8" t="s">
        <v>39</v>
      </c>
      <c r="G8" t="s">
        <v>40</v>
      </c>
      <c r="H8" t="s">
        <v>41</v>
      </c>
      <c r="I8" s="2">
        <v>2917</v>
      </c>
      <c r="J8" t="s">
        <v>42</v>
      </c>
      <c r="K8" s="2">
        <v>1504</v>
      </c>
      <c r="L8" s="4">
        <f t="shared" si="0"/>
        <v>1413</v>
      </c>
      <c r="M8" s="1">
        <v>46029</v>
      </c>
      <c r="N8">
        <v>1594</v>
      </c>
      <c r="O8">
        <v>2421</v>
      </c>
      <c r="P8" s="2">
        <v>2077.7459016393441</v>
      </c>
      <c r="Q8">
        <v>2205</v>
      </c>
      <c r="S8" t="s">
        <v>43</v>
      </c>
      <c r="T8">
        <v>0</v>
      </c>
      <c r="U8">
        <v>29</v>
      </c>
    </row>
    <row r="9" spans="1:21" x14ac:dyDescent="0.25">
      <c r="A9" s="2">
        <v>1910</v>
      </c>
      <c r="B9">
        <v>1629</v>
      </c>
      <c r="C9">
        <v>2781</v>
      </c>
      <c r="D9" t="s">
        <v>31</v>
      </c>
      <c r="E9" t="s">
        <v>43</v>
      </c>
      <c r="F9" t="s">
        <v>44</v>
      </c>
      <c r="G9" t="s">
        <v>45</v>
      </c>
      <c r="H9" t="s">
        <v>46</v>
      </c>
      <c r="I9" s="2">
        <v>2781</v>
      </c>
      <c r="J9" t="s">
        <v>47</v>
      </c>
      <c r="K9" s="2">
        <v>1839</v>
      </c>
      <c r="L9" s="4">
        <f t="shared" si="0"/>
        <v>942</v>
      </c>
      <c r="M9" s="1">
        <v>46030</v>
      </c>
      <c r="N9">
        <v>1604</v>
      </c>
      <c r="O9">
        <v>2429</v>
      </c>
      <c r="P9" s="2">
        <v>2083.2295081967213</v>
      </c>
      <c r="Q9">
        <v>2205</v>
      </c>
      <c r="S9" t="s">
        <v>378</v>
      </c>
      <c r="T9">
        <v>0</v>
      </c>
      <c r="U9">
        <v>0</v>
      </c>
    </row>
    <row r="10" spans="1:21" x14ac:dyDescent="0.25">
      <c r="A10" s="2">
        <v>1911</v>
      </c>
      <c r="B10">
        <v>1608</v>
      </c>
      <c r="C10">
        <v>2757</v>
      </c>
      <c r="D10" t="s">
        <v>22</v>
      </c>
      <c r="E10" t="s">
        <v>12</v>
      </c>
      <c r="F10" t="s">
        <v>39</v>
      </c>
      <c r="G10" t="s">
        <v>24</v>
      </c>
      <c r="H10" t="s">
        <v>48</v>
      </c>
      <c r="I10" s="2">
        <v>2757</v>
      </c>
      <c r="J10" t="s">
        <v>49</v>
      </c>
      <c r="K10" s="2">
        <v>1608</v>
      </c>
      <c r="L10" s="4">
        <f t="shared" si="0"/>
        <v>1149</v>
      </c>
      <c r="M10" s="1">
        <v>46031</v>
      </c>
      <c r="N10">
        <v>1617</v>
      </c>
      <c r="O10">
        <v>2431</v>
      </c>
      <c r="P10" s="2">
        <v>2088.6639344262294</v>
      </c>
      <c r="Q10">
        <v>2205</v>
      </c>
      <c r="S10" t="s">
        <v>134</v>
      </c>
      <c r="T10">
        <v>1</v>
      </c>
      <c r="U10">
        <v>0</v>
      </c>
    </row>
    <row r="11" spans="1:21" x14ac:dyDescent="0.25">
      <c r="A11" s="2">
        <v>1912</v>
      </c>
      <c r="B11">
        <v>1942</v>
      </c>
      <c r="C11">
        <v>2487</v>
      </c>
      <c r="D11" t="s">
        <v>11</v>
      </c>
      <c r="E11" t="s">
        <v>12</v>
      </c>
      <c r="F11" t="s">
        <v>50</v>
      </c>
      <c r="G11" t="s">
        <v>51</v>
      </c>
      <c r="H11" t="s">
        <v>52</v>
      </c>
      <c r="I11" s="2">
        <v>2487</v>
      </c>
      <c r="J11" t="s">
        <v>53</v>
      </c>
      <c r="K11" s="2">
        <v>1942</v>
      </c>
      <c r="L11" s="4">
        <f t="shared" si="0"/>
        <v>545</v>
      </c>
      <c r="M11" s="1">
        <v>46032</v>
      </c>
      <c r="N11">
        <v>1629</v>
      </c>
      <c r="O11">
        <v>2436</v>
      </c>
      <c r="P11" s="2">
        <v>2094.3360655737706</v>
      </c>
      <c r="Q11">
        <v>2205</v>
      </c>
      <c r="S11" t="s">
        <v>22</v>
      </c>
      <c r="T11">
        <v>57</v>
      </c>
      <c r="U11">
        <v>0</v>
      </c>
    </row>
    <row r="12" spans="1:21" x14ac:dyDescent="0.25">
      <c r="A12" s="2">
        <v>1913</v>
      </c>
      <c r="B12">
        <v>2124</v>
      </c>
      <c r="C12">
        <v>2850</v>
      </c>
      <c r="D12" t="s">
        <v>11</v>
      </c>
      <c r="E12" t="s">
        <v>12</v>
      </c>
      <c r="F12" t="s">
        <v>54</v>
      </c>
      <c r="G12" t="s">
        <v>55</v>
      </c>
      <c r="H12" t="s">
        <v>56</v>
      </c>
      <c r="I12" s="2">
        <v>2850</v>
      </c>
      <c r="J12" t="s">
        <v>57</v>
      </c>
      <c r="K12" s="2">
        <v>2124</v>
      </c>
      <c r="L12" s="4">
        <f t="shared" si="0"/>
        <v>726</v>
      </c>
      <c r="M12" s="1">
        <v>46033</v>
      </c>
      <c r="N12">
        <v>1645</v>
      </c>
      <c r="O12">
        <v>2439</v>
      </c>
      <c r="P12" s="2">
        <v>2100.2213114754099</v>
      </c>
      <c r="Q12">
        <v>2206</v>
      </c>
      <c r="S12" t="s">
        <v>11</v>
      </c>
      <c r="T12">
        <v>54</v>
      </c>
      <c r="U12">
        <v>0</v>
      </c>
    </row>
    <row r="13" spans="1:21" x14ac:dyDescent="0.25">
      <c r="A13" s="2">
        <v>1914</v>
      </c>
      <c r="B13">
        <v>1750</v>
      </c>
      <c r="C13">
        <v>2844</v>
      </c>
      <c r="D13" t="s">
        <v>17</v>
      </c>
      <c r="E13" t="s">
        <v>12</v>
      </c>
      <c r="F13" t="s">
        <v>58</v>
      </c>
      <c r="G13" t="s">
        <v>59</v>
      </c>
      <c r="H13" t="s">
        <v>60</v>
      </c>
      <c r="I13" s="2">
        <v>2844</v>
      </c>
      <c r="J13" t="s">
        <v>61</v>
      </c>
      <c r="K13" s="2">
        <v>1750</v>
      </c>
      <c r="L13" s="4">
        <f t="shared" si="0"/>
        <v>1094</v>
      </c>
      <c r="M13" s="1">
        <v>46034</v>
      </c>
      <c r="N13">
        <v>1663</v>
      </c>
      <c r="O13">
        <v>2441</v>
      </c>
      <c r="P13" s="2">
        <v>2105.8278688524592</v>
      </c>
      <c r="Q13">
        <v>2207</v>
      </c>
      <c r="S13" t="s">
        <v>17</v>
      </c>
      <c r="T13">
        <v>10</v>
      </c>
      <c r="U13">
        <v>0</v>
      </c>
    </row>
    <row r="14" spans="1:21" x14ac:dyDescent="0.25">
      <c r="A14" s="2">
        <v>1915</v>
      </c>
      <c r="B14">
        <v>1662</v>
      </c>
      <c r="C14">
        <v>2773</v>
      </c>
      <c r="D14" t="s">
        <v>11</v>
      </c>
      <c r="E14" t="s">
        <v>62</v>
      </c>
      <c r="F14" t="s">
        <v>13</v>
      </c>
      <c r="G14" t="s">
        <v>63</v>
      </c>
      <c r="H14" t="s">
        <v>64</v>
      </c>
      <c r="I14" s="2">
        <v>2773</v>
      </c>
      <c r="J14" t="s">
        <v>65</v>
      </c>
      <c r="K14" s="2">
        <v>1662</v>
      </c>
      <c r="L14" s="4">
        <f t="shared" si="0"/>
        <v>1111</v>
      </c>
      <c r="M14" s="1">
        <v>46035</v>
      </c>
      <c r="N14">
        <v>1681</v>
      </c>
      <c r="O14">
        <v>2441</v>
      </c>
      <c r="P14" s="2">
        <v>2111.4426229508199</v>
      </c>
      <c r="Q14">
        <v>2208</v>
      </c>
    </row>
    <row r="15" spans="1:21" x14ac:dyDescent="0.25">
      <c r="A15" s="2">
        <v>1916</v>
      </c>
      <c r="B15">
        <v>1442</v>
      </c>
      <c r="C15">
        <v>2663</v>
      </c>
      <c r="D15" t="s">
        <v>22</v>
      </c>
      <c r="E15" t="s">
        <v>12</v>
      </c>
      <c r="F15" t="s">
        <v>66</v>
      </c>
      <c r="G15" t="s">
        <v>67</v>
      </c>
      <c r="H15" t="s">
        <v>68</v>
      </c>
      <c r="I15" s="2">
        <v>2663</v>
      </c>
      <c r="J15" t="s">
        <v>69</v>
      </c>
      <c r="K15" s="2">
        <v>1442</v>
      </c>
      <c r="L15" s="4">
        <f t="shared" si="0"/>
        <v>1221</v>
      </c>
      <c r="M15" s="1">
        <v>46036</v>
      </c>
      <c r="N15">
        <v>1699</v>
      </c>
      <c r="O15">
        <v>2446</v>
      </c>
      <c r="P15" s="2">
        <v>2117.0901639344261</v>
      </c>
      <c r="Q15">
        <v>2208</v>
      </c>
    </row>
    <row r="16" spans="1:21" x14ac:dyDescent="0.25">
      <c r="A16" s="2">
        <v>1917</v>
      </c>
      <c r="B16">
        <v>1748</v>
      </c>
      <c r="C16">
        <v>2677</v>
      </c>
      <c r="D16" t="s">
        <v>22</v>
      </c>
      <c r="E16" t="s">
        <v>12</v>
      </c>
      <c r="F16" t="s">
        <v>70</v>
      </c>
      <c r="G16" t="s">
        <v>71</v>
      </c>
      <c r="H16" t="s">
        <v>72</v>
      </c>
      <c r="I16" s="2">
        <v>2677</v>
      </c>
      <c r="J16" t="s">
        <v>73</v>
      </c>
      <c r="K16" s="2">
        <v>1748</v>
      </c>
      <c r="L16" s="4">
        <f t="shared" si="0"/>
        <v>929</v>
      </c>
      <c r="M16" s="1">
        <v>46037</v>
      </c>
      <c r="N16">
        <v>1714</v>
      </c>
      <c r="O16">
        <v>2447</v>
      </c>
      <c r="P16" s="2">
        <v>2122.8852459016393</v>
      </c>
      <c r="Q16">
        <v>2206</v>
      </c>
    </row>
    <row r="17" spans="1:17" x14ac:dyDescent="0.25">
      <c r="A17" s="2">
        <v>1918</v>
      </c>
      <c r="B17">
        <v>1851</v>
      </c>
      <c r="C17">
        <v>2874</v>
      </c>
      <c r="D17" t="s">
        <v>22</v>
      </c>
      <c r="E17" t="s">
        <v>12</v>
      </c>
      <c r="F17" t="s">
        <v>74</v>
      </c>
      <c r="G17" t="s">
        <v>75</v>
      </c>
      <c r="H17" t="s">
        <v>76</v>
      </c>
      <c r="I17" s="2">
        <v>2874</v>
      </c>
      <c r="J17" t="s">
        <v>77</v>
      </c>
      <c r="K17" s="2">
        <v>1851</v>
      </c>
      <c r="L17" s="4">
        <f t="shared" si="0"/>
        <v>1023</v>
      </c>
      <c r="M17" s="1">
        <v>46038</v>
      </c>
      <c r="N17">
        <v>1726</v>
      </c>
      <c r="O17">
        <v>2447</v>
      </c>
      <c r="P17" s="2">
        <v>2128.9754098360654</v>
      </c>
      <c r="Q17">
        <v>2205</v>
      </c>
    </row>
    <row r="18" spans="1:17" x14ac:dyDescent="0.25">
      <c r="A18" s="2">
        <v>1919</v>
      </c>
      <c r="B18">
        <v>1676</v>
      </c>
      <c r="C18">
        <v>2636</v>
      </c>
      <c r="D18" t="s">
        <v>22</v>
      </c>
      <c r="E18" t="s">
        <v>12</v>
      </c>
      <c r="F18" t="s">
        <v>78</v>
      </c>
      <c r="G18" t="s">
        <v>33</v>
      </c>
      <c r="H18" t="s">
        <v>79</v>
      </c>
      <c r="I18" s="2">
        <v>2636</v>
      </c>
      <c r="J18" t="s">
        <v>80</v>
      </c>
      <c r="K18" s="2">
        <v>1676</v>
      </c>
      <c r="L18" s="4">
        <f t="shared" si="0"/>
        <v>960</v>
      </c>
      <c r="M18" s="1">
        <v>46039</v>
      </c>
      <c r="N18">
        <v>1737</v>
      </c>
      <c r="O18">
        <v>2447</v>
      </c>
      <c r="P18" s="2">
        <v>2135.0245901639346</v>
      </c>
      <c r="Q18">
        <v>2205</v>
      </c>
    </row>
    <row r="19" spans="1:17" x14ac:dyDescent="0.25">
      <c r="A19" s="2">
        <v>1920</v>
      </c>
      <c r="B19">
        <v>1980</v>
      </c>
      <c r="C19">
        <v>2857</v>
      </c>
      <c r="D19" t="s">
        <v>17</v>
      </c>
      <c r="E19" t="s">
        <v>43</v>
      </c>
      <c r="F19" t="s">
        <v>81</v>
      </c>
      <c r="G19" t="s">
        <v>82</v>
      </c>
      <c r="H19" t="s">
        <v>83</v>
      </c>
      <c r="I19" s="2">
        <v>2857</v>
      </c>
      <c r="J19" t="s">
        <v>84</v>
      </c>
      <c r="K19" s="2">
        <v>2047</v>
      </c>
      <c r="L19" s="4">
        <f t="shared" si="0"/>
        <v>810</v>
      </c>
      <c r="M19" s="1">
        <v>46040</v>
      </c>
      <c r="N19">
        <v>1748</v>
      </c>
      <c r="O19">
        <v>2450</v>
      </c>
      <c r="P19" s="2">
        <v>2141.1475409836066</v>
      </c>
      <c r="Q19">
        <v>2205</v>
      </c>
    </row>
    <row r="20" spans="1:17" x14ac:dyDescent="0.25">
      <c r="A20" s="2">
        <v>1921</v>
      </c>
      <c r="B20">
        <v>1732</v>
      </c>
      <c r="C20">
        <v>2897</v>
      </c>
      <c r="D20" t="s">
        <v>22</v>
      </c>
      <c r="E20" t="s">
        <v>12</v>
      </c>
      <c r="F20" t="s">
        <v>85</v>
      </c>
      <c r="G20" t="s">
        <v>71</v>
      </c>
      <c r="H20" t="s">
        <v>86</v>
      </c>
      <c r="I20" s="2">
        <v>2897</v>
      </c>
      <c r="J20" t="s">
        <v>87</v>
      </c>
      <c r="K20" s="2">
        <v>1732</v>
      </c>
      <c r="L20" s="4">
        <f t="shared" si="0"/>
        <v>1165</v>
      </c>
      <c r="M20" s="1">
        <v>46041</v>
      </c>
      <c r="N20">
        <v>1742</v>
      </c>
      <c r="O20">
        <v>2448</v>
      </c>
      <c r="P20" s="2">
        <v>2147.0409836065573</v>
      </c>
      <c r="Q20">
        <v>2205</v>
      </c>
    </row>
    <row r="21" spans="1:17" x14ac:dyDescent="0.25">
      <c r="A21" s="2">
        <v>1922</v>
      </c>
      <c r="B21">
        <v>2090</v>
      </c>
      <c r="C21">
        <v>2935</v>
      </c>
      <c r="D21" t="s">
        <v>11</v>
      </c>
      <c r="E21" t="s">
        <v>12</v>
      </c>
      <c r="F21" t="s">
        <v>88</v>
      </c>
      <c r="G21" t="s">
        <v>59</v>
      </c>
      <c r="H21" t="s">
        <v>89</v>
      </c>
      <c r="I21" s="2">
        <v>2935</v>
      </c>
      <c r="J21" t="s">
        <v>90</v>
      </c>
      <c r="K21" s="2">
        <v>2090</v>
      </c>
      <c r="L21" s="4">
        <f t="shared" si="0"/>
        <v>845</v>
      </c>
      <c r="M21" s="1">
        <v>46042</v>
      </c>
      <c r="N21">
        <v>1740</v>
      </c>
      <c r="O21">
        <v>2448</v>
      </c>
      <c r="P21" s="2">
        <v>2153.155737704918</v>
      </c>
      <c r="Q21">
        <v>2206</v>
      </c>
    </row>
    <row r="22" spans="1:17" x14ac:dyDescent="0.25">
      <c r="A22" s="2">
        <v>1923</v>
      </c>
      <c r="B22">
        <v>1675</v>
      </c>
      <c r="C22">
        <v>2819</v>
      </c>
      <c r="D22" t="s">
        <v>11</v>
      </c>
      <c r="E22" t="s">
        <v>12</v>
      </c>
      <c r="F22" t="s">
        <v>50</v>
      </c>
      <c r="G22" t="s">
        <v>91</v>
      </c>
      <c r="H22" t="s">
        <v>92</v>
      </c>
      <c r="I22" s="2">
        <v>2819</v>
      </c>
      <c r="J22" t="s">
        <v>93</v>
      </c>
      <c r="K22" s="2">
        <v>1675</v>
      </c>
      <c r="L22" s="4">
        <f t="shared" si="0"/>
        <v>1144</v>
      </c>
      <c r="M22" s="1">
        <v>46043</v>
      </c>
      <c r="N22">
        <v>1739</v>
      </c>
      <c r="O22">
        <v>2449</v>
      </c>
      <c r="P22" s="2">
        <v>2159.0409836065573</v>
      </c>
    </row>
    <row r="23" spans="1:17" x14ac:dyDescent="0.25">
      <c r="A23" s="2">
        <v>1924</v>
      </c>
      <c r="B23">
        <v>1731</v>
      </c>
      <c r="C23">
        <v>2609</v>
      </c>
      <c r="D23" t="s">
        <v>22</v>
      </c>
      <c r="E23" t="s">
        <v>43</v>
      </c>
      <c r="F23" t="s">
        <v>94</v>
      </c>
      <c r="G23" t="s">
        <v>95</v>
      </c>
      <c r="H23" t="s">
        <v>96</v>
      </c>
      <c r="I23" s="2">
        <v>2609</v>
      </c>
      <c r="J23" t="s">
        <v>97</v>
      </c>
      <c r="K23" s="2">
        <v>1731</v>
      </c>
      <c r="L23" s="4">
        <f t="shared" si="0"/>
        <v>878</v>
      </c>
      <c r="M23" s="1">
        <v>46044</v>
      </c>
      <c r="N23">
        <v>1741</v>
      </c>
      <c r="O23">
        <v>2451</v>
      </c>
      <c r="P23" s="2">
        <v>2164.9508196721313</v>
      </c>
    </row>
    <row r="24" spans="1:17" x14ac:dyDescent="0.25">
      <c r="A24" s="2">
        <v>1925</v>
      </c>
      <c r="B24">
        <v>1767</v>
      </c>
      <c r="C24">
        <v>2843</v>
      </c>
      <c r="D24" t="s">
        <v>11</v>
      </c>
      <c r="E24" t="s">
        <v>12</v>
      </c>
      <c r="F24" t="s">
        <v>98</v>
      </c>
      <c r="G24" t="s">
        <v>55</v>
      </c>
      <c r="H24" t="s">
        <v>99</v>
      </c>
      <c r="I24" s="2">
        <v>2843</v>
      </c>
      <c r="J24" t="s">
        <v>100</v>
      </c>
      <c r="K24" s="2">
        <v>1767</v>
      </c>
      <c r="L24" s="4">
        <f t="shared" si="0"/>
        <v>1076</v>
      </c>
      <c r="M24" s="1">
        <v>46045</v>
      </c>
      <c r="N24">
        <v>1745</v>
      </c>
      <c r="O24">
        <v>2452</v>
      </c>
      <c r="P24" s="2">
        <v>2170.9344262295081</v>
      </c>
    </row>
    <row r="25" spans="1:17" x14ac:dyDescent="0.25">
      <c r="A25" s="2">
        <v>1926</v>
      </c>
      <c r="B25">
        <v>1454</v>
      </c>
      <c r="C25">
        <v>2177</v>
      </c>
      <c r="D25" t="s">
        <v>22</v>
      </c>
      <c r="E25" t="s">
        <v>43</v>
      </c>
      <c r="F25" t="s">
        <v>101</v>
      </c>
      <c r="G25" t="s">
        <v>95</v>
      </c>
      <c r="H25" t="s">
        <v>102</v>
      </c>
      <c r="I25" s="2">
        <v>2177</v>
      </c>
      <c r="J25" t="s">
        <v>103</v>
      </c>
      <c r="K25" s="2">
        <v>1454</v>
      </c>
      <c r="L25" s="4">
        <f t="shared" si="0"/>
        <v>723</v>
      </c>
      <c r="M25" s="1">
        <v>46046</v>
      </c>
      <c r="N25">
        <v>1752</v>
      </c>
      <c r="O25">
        <v>2453</v>
      </c>
      <c r="P25" s="2">
        <v>2176.5737704918033</v>
      </c>
    </row>
    <row r="26" spans="1:17" x14ac:dyDescent="0.25">
      <c r="A26" s="2">
        <v>1927</v>
      </c>
      <c r="B26">
        <v>1878</v>
      </c>
      <c r="C26">
        <v>2756</v>
      </c>
      <c r="D26" t="s">
        <v>22</v>
      </c>
      <c r="E26" t="s">
        <v>12</v>
      </c>
      <c r="F26" t="s">
        <v>104</v>
      </c>
      <c r="G26" t="s">
        <v>105</v>
      </c>
      <c r="H26" t="s">
        <v>106</v>
      </c>
      <c r="I26" s="2">
        <v>2756</v>
      </c>
      <c r="J26" t="s">
        <v>107</v>
      </c>
      <c r="K26" s="2">
        <v>1878</v>
      </c>
      <c r="L26" s="4">
        <f t="shared" si="0"/>
        <v>878</v>
      </c>
      <c r="M26" s="1">
        <v>46047</v>
      </c>
      <c r="N26">
        <v>1758</v>
      </c>
      <c r="O26">
        <v>2455</v>
      </c>
      <c r="P26" s="2">
        <v>2182.3196721311474</v>
      </c>
    </row>
    <row r="27" spans="1:17" x14ac:dyDescent="0.25">
      <c r="A27" s="2">
        <v>1928</v>
      </c>
      <c r="B27">
        <v>1819</v>
      </c>
      <c r="C27">
        <v>2850</v>
      </c>
      <c r="D27" t="s">
        <v>22</v>
      </c>
      <c r="E27" t="s">
        <v>12</v>
      </c>
      <c r="F27" t="s">
        <v>108</v>
      </c>
      <c r="G27" t="s">
        <v>109</v>
      </c>
      <c r="H27" t="s">
        <v>110</v>
      </c>
      <c r="I27" s="2">
        <v>2850</v>
      </c>
      <c r="J27" t="s">
        <v>111</v>
      </c>
      <c r="K27" s="2">
        <v>1819</v>
      </c>
      <c r="L27" s="4">
        <f t="shared" si="0"/>
        <v>1031</v>
      </c>
      <c r="M27" s="1">
        <v>46048</v>
      </c>
      <c r="N27">
        <v>1767</v>
      </c>
      <c r="O27">
        <v>2457</v>
      </c>
      <c r="P27" s="2">
        <v>2187.7540983606559</v>
      </c>
    </row>
    <row r="28" spans="1:17" x14ac:dyDescent="0.25">
      <c r="A28" s="2">
        <v>1929</v>
      </c>
      <c r="B28">
        <v>1698</v>
      </c>
      <c r="C28">
        <v>2814</v>
      </c>
      <c r="D28" t="s">
        <v>11</v>
      </c>
      <c r="E28" t="s">
        <v>12</v>
      </c>
      <c r="F28" t="s">
        <v>112</v>
      </c>
      <c r="G28" t="s">
        <v>113</v>
      </c>
      <c r="H28" t="s">
        <v>114</v>
      </c>
      <c r="I28" s="2">
        <v>2814</v>
      </c>
      <c r="J28" t="s">
        <v>115</v>
      </c>
      <c r="K28" s="2">
        <v>1698</v>
      </c>
      <c r="L28" s="4">
        <f t="shared" si="0"/>
        <v>1116</v>
      </c>
      <c r="M28" s="1">
        <v>46049</v>
      </c>
      <c r="N28">
        <v>1776</v>
      </c>
      <c r="O28">
        <v>2458</v>
      </c>
      <c r="P28" s="2">
        <v>2193.0655737704919</v>
      </c>
    </row>
    <row r="29" spans="1:17" x14ac:dyDescent="0.25">
      <c r="A29" s="2">
        <v>1930</v>
      </c>
      <c r="B29">
        <v>1836</v>
      </c>
      <c r="C29">
        <v>2769</v>
      </c>
      <c r="D29" t="s">
        <v>11</v>
      </c>
      <c r="E29" t="s">
        <v>12</v>
      </c>
      <c r="F29" t="s">
        <v>116</v>
      </c>
      <c r="G29" t="s">
        <v>117</v>
      </c>
      <c r="H29" t="s">
        <v>118</v>
      </c>
      <c r="I29" s="2">
        <v>2769</v>
      </c>
      <c r="J29" t="s">
        <v>119</v>
      </c>
      <c r="K29" s="2">
        <v>1836</v>
      </c>
      <c r="L29" s="4">
        <f t="shared" si="0"/>
        <v>933</v>
      </c>
      <c r="M29" s="1">
        <v>46050</v>
      </c>
      <c r="N29">
        <v>1786</v>
      </c>
      <c r="O29">
        <v>2458</v>
      </c>
      <c r="P29" s="2">
        <v>2198.5245901639346</v>
      </c>
    </row>
    <row r="30" spans="1:17" x14ac:dyDescent="0.25">
      <c r="A30" s="2">
        <v>1931</v>
      </c>
      <c r="B30">
        <v>1748</v>
      </c>
      <c r="C30">
        <v>2666</v>
      </c>
      <c r="D30" t="s">
        <v>22</v>
      </c>
      <c r="E30" t="s">
        <v>12</v>
      </c>
      <c r="F30" t="s">
        <v>120</v>
      </c>
      <c r="G30" t="s">
        <v>121</v>
      </c>
      <c r="H30" t="s">
        <v>122</v>
      </c>
      <c r="I30" s="2">
        <v>2666</v>
      </c>
      <c r="J30" t="s">
        <v>123</v>
      </c>
      <c r="K30" s="2">
        <v>1748</v>
      </c>
      <c r="L30" s="4">
        <f t="shared" si="0"/>
        <v>918</v>
      </c>
      <c r="M30" s="1">
        <v>46051</v>
      </c>
      <c r="N30">
        <v>1795</v>
      </c>
      <c r="O30">
        <v>2461</v>
      </c>
      <c r="P30" s="2">
        <v>2203.655737704918</v>
      </c>
    </row>
    <row r="31" spans="1:17" x14ac:dyDescent="0.25">
      <c r="A31" s="2">
        <v>1932</v>
      </c>
      <c r="B31">
        <v>1787</v>
      </c>
      <c r="C31">
        <v>2776</v>
      </c>
      <c r="D31" t="s">
        <v>22</v>
      </c>
      <c r="E31" t="s">
        <v>12</v>
      </c>
      <c r="F31" t="s">
        <v>36</v>
      </c>
      <c r="G31" t="s">
        <v>75</v>
      </c>
      <c r="H31" t="s">
        <v>124</v>
      </c>
      <c r="I31" s="2">
        <v>2776</v>
      </c>
      <c r="J31" t="s">
        <v>125</v>
      </c>
      <c r="K31" s="2">
        <v>1787</v>
      </c>
      <c r="L31" s="4">
        <f t="shared" si="0"/>
        <v>989</v>
      </c>
      <c r="M31" s="1">
        <v>46052</v>
      </c>
      <c r="N31">
        <v>1805</v>
      </c>
      <c r="O31">
        <v>2464</v>
      </c>
      <c r="P31" s="2">
        <v>2208.5983606557379</v>
      </c>
    </row>
    <row r="32" spans="1:17" x14ac:dyDescent="0.25">
      <c r="A32" s="2">
        <v>1933</v>
      </c>
      <c r="B32">
        <v>1642</v>
      </c>
      <c r="C32">
        <v>2812</v>
      </c>
      <c r="D32" t="s">
        <v>22</v>
      </c>
      <c r="E32" t="s">
        <v>12</v>
      </c>
      <c r="F32" t="s">
        <v>126</v>
      </c>
      <c r="G32" t="s">
        <v>24</v>
      </c>
      <c r="H32" t="s">
        <v>127</v>
      </c>
      <c r="I32" s="2">
        <v>2812</v>
      </c>
      <c r="J32" t="s">
        <v>128</v>
      </c>
      <c r="K32" s="2">
        <v>1642</v>
      </c>
      <c r="L32" s="4">
        <f t="shared" si="0"/>
        <v>1170</v>
      </c>
      <c r="M32" s="1">
        <v>46053</v>
      </c>
      <c r="N32">
        <v>1815</v>
      </c>
      <c r="O32">
        <v>2469</v>
      </c>
      <c r="P32" s="2">
        <v>2213.5</v>
      </c>
    </row>
    <row r="33" spans="1:16" x14ac:dyDescent="0.25">
      <c r="A33" s="2">
        <v>1934</v>
      </c>
      <c r="B33">
        <v>1999</v>
      </c>
      <c r="C33">
        <v>2764</v>
      </c>
      <c r="D33" t="s">
        <v>31</v>
      </c>
      <c r="E33" t="s">
        <v>12</v>
      </c>
      <c r="F33" t="s">
        <v>44</v>
      </c>
      <c r="G33" t="s">
        <v>117</v>
      </c>
      <c r="H33" t="s">
        <v>129</v>
      </c>
      <c r="I33" s="2">
        <v>2764</v>
      </c>
      <c r="J33" t="s">
        <v>130</v>
      </c>
      <c r="K33" s="2">
        <v>2116</v>
      </c>
      <c r="L33" s="4">
        <f t="shared" si="0"/>
        <v>648</v>
      </c>
      <c r="M33" s="1">
        <v>46054</v>
      </c>
      <c r="N33">
        <v>1824</v>
      </c>
      <c r="O33">
        <v>2475</v>
      </c>
      <c r="P33" s="2">
        <v>2218.311475409836</v>
      </c>
    </row>
    <row r="34" spans="1:16" x14ac:dyDescent="0.25">
      <c r="A34" s="2">
        <v>1935</v>
      </c>
      <c r="B34">
        <v>1615</v>
      </c>
      <c r="C34">
        <v>2767</v>
      </c>
      <c r="D34" t="s">
        <v>11</v>
      </c>
      <c r="E34" t="s">
        <v>12</v>
      </c>
      <c r="F34" t="s">
        <v>131</v>
      </c>
      <c r="G34" t="s">
        <v>109</v>
      </c>
      <c r="H34" t="s">
        <v>132</v>
      </c>
      <c r="I34" s="2">
        <v>2767</v>
      </c>
      <c r="J34" t="s">
        <v>133</v>
      </c>
      <c r="K34" s="2">
        <v>1615</v>
      </c>
      <c r="L34" s="4">
        <f t="shared" si="0"/>
        <v>1152</v>
      </c>
      <c r="M34" s="1">
        <v>46055</v>
      </c>
      <c r="N34">
        <v>1838</v>
      </c>
      <c r="O34">
        <v>2482</v>
      </c>
      <c r="P34" s="2">
        <v>2222.9836065573772</v>
      </c>
    </row>
    <row r="35" spans="1:16" x14ac:dyDescent="0.25">
      <c r="A35" s="2">
        <v>1936</v>
      </c>
      <c r="B35">
        <v>1497</v>
      </c>
      <c r="C35">
        <v>2664</v>
      </c>
      <c r="D35" t="s">
        <v>134</v>
      </c>
      <c r="E35" t="s">
        <v>62</v>
      </c>
      <c r="F35" t="s">
        <v>135</v>
      </c>
      <c r="G35" t="s">
        <v>136</v>
      </c>
      <c r="H35" t="s">
        <v>137</v>
      </c>
      <c r="I35" s="2">
        <v>2664</v>
      </c>
      <c r="J35" t="s">
        <v>138</v>
      </c>
      <c r="K35" s="2">
        <v>1497</v>
      </c>
      <c r="L35" s="4">
        <f t="shared" si="0"/>
        <v>1167</v>
      </c>
      <c r="M35" s="1">
        <v>46056</v>
      </c>
      <c r="N35">
        <v>1850</v>
      </c>
      <c r="O35">
        <v>2490</v>
      </c>
      <c r="P35" s="2">
        <v>2227.9262295081967</v>
      </c>
    </row>
    <row r="36" spans="1:16" x14ac:dyDescent="0.25">
      <c r="A36" s="2">
        <v>1937</v>
      </c>
      <c r="B36">
        <v>1612</v>
      </c>
      <c r="C36">
        <v>2691</v>
      </c>
      <c r="D36" t="s">
        <v>17</v>
      </c>
      <c r="E36" t="s">
        <v>12</v>
      </c>
      <c r="F36" t="s">
        <v>139</v>
      </c>
      <c r="G36" t="s">
        <v>51</v>
      </c>
      <c r="H36" t="s">
        <v>140</v>
      </c>
      <c r="I36" s="2">
        <v>2691</v>
      </c>
      <c r="J36" t="s">
        <v>141</v>
      </c>
      <c r="K36" s="2">
        <v>1612</v>
      </c>
      <c r="L36" s="4">
        <f t="shared" si="0"/>
        <v>1079</v>
      </c>
      <c r="M36" s="1">
        <v>46057</v>
      </c>
      <c r="N36">
        <v>1857</v>
      </c>
      <c r="O36">
        <v>2499</v>
      </c>
      <c r="P36" s="2">
        <v>2232.8852459016393</v>
      </c>
    </row>
    <row r="37" spans="1:16" x14ac:dyDescent="0.25">
      <c r="A37" s="2">
        <v>1938</v>
      </c>
      <c r="B37">
        <v>1659</v>
      </c>
      <c r="C37">
        <v>2792</v>
      </c>
      <c r="D37" t="s">
        <v>31</v>
      </c>
      <c r="E37" t="s">
        <v>12</v>
      </c>
      <c r="F37" t="s">
        <v>142</v>
      </c>
      <c r="G37" t="s">
        <v>109</v>
      </c>
      <c r="H37" t="s">
        <v>143</v>
      </c>
      <c r="I37" s="2">
        <v>2792</v>
      </c>
      <c r="J37" t="s">
        <v>144</v>
      </c>
      <c r="K37" s="2">
        <v>1796</v>
      </c>
      <c r="L37" s="4">
        <f t="shared" si="0"/>
        <v>996</v>
      </c>
      <c r="M37" s="1">
        <v>46058</v>
      </c>
      <c r="N37">
        <v>1854</v>
      </c>
      <c r="O37">
        <v>2506</v>
      </c>
      <c r="P37" s="2">
        <v>2237.5245901639346</v>
      </c>
    </row>
    <row r="38" spans="1:16" x14ac:dyDescent="0.25">
      <c r="A38" s="2">
        <v>1939</v>
      </c>
      <c r="B38">
        <v>1983</v>
      </c>
      <c r="C38">
        <v>2804</v>
      </c>
      <c r="D38" t="s">
        <v>31</v>
      </c>
      <c r="E38" t="s">
        <v>12</v>
      </c>
      <c r="F38" t="s">
        <v>44</v>
      </c>
      <c r="G38" t="s">
        <v>117</v>
      </c>
      <c r="H38" t="s">
        <v>145</v>
      </c>
      <c r="I38" s="2">
        <v>2804</v>
      </c>
      <c r="J38" t="s">
        <v>146</v>
      </c>
      <c r="K38" s="2">
        <v>2056</v>
      </c>
      <c r="L38" s="4">
        <f t="shared" si="0"/>
        <v>748</v>
      </c>
      <c r="M38" s="1">
        <v>46059</v>
      </c>
      <c r="N38">
        <v>1852</v>
      </c>
      <c r="O38">
        <v>2514</v>
      </c>
      <c r="P38" s="2">
        <v>2241.9262295081967</v>
      </c>
    </row>
    <row r="39" spans="1:16" x14ac:dyDescent="0.25">
      <c r="A39" s="2">
        <v>1940</v>
      </c>
      <c r="B39">
        <v>1958</v>
      </c>
      <c r="C39">
        <v>2677</v>
      </c>
      <c r="D39" t="s">
        <v>17</v>
      </c>
      <c r="E39" t="s">
        <v>12</v>
      </c>
      <c r="F39" t="s">
        <v>147</v>
      </c>
      <c r="G39" t="s">
        <v>148</v>
      </c>
      <c r="H39" t="s">
        <v>149</v>
      </c>
      <c r="I39" s="2">
        <v>2677</v>
      </c>
      <c r="J39" t="s">
        <v>150</v>
      </c>
      <c r="K39" s="2">
        <v>2050</v>
      </c>
      <c r="L39" s="4">
        <f t="shared" si="0"/>
        <v>627</v>
      </c>
      <c r="M39" s="1">
        <v>46060</v>
      </c>
      <c r="N39">
        <v>1850</v>
      </c>
      <c r="O39">
        <v>2522</v>
      </c>
      <c r="P39" s="2">
        <v>2246.5</v>
      </c>
    </row>
    <row r="40" spans="1:16" x14ac:dyDescent="0.25">
      <c r="A40" s="2">
        <v>1941</v>
      </c>
      <c r="B40">
        <v>1620</v>
      </c>
      <c r="C40">
        <v>2709</v>
      </c>
      <c r="D40" t="s">
        <v>22</v>
      </c>
      <c r="E40" t="s">
        <v>62</v>
      </c>
      <c r="F40" t="s">
        <v>151</v>
      </c>
      <c r="G40" t="s">
        <v>152</v>
      </c>
      <c r="H40" t="s">
        <v>153</v>
      </c>
      <c r="I40" s="2">
        <v>2709</v>
      </c>
      <c r="J40" t="s">
        <v>154</v>
      </c>
      <c r="K40" s="2">
        <v>1620</v>
      </c>
      <c r="L40" s="4">
        <f t="shared" si="0"/>
        <v>1089</v>
      </c>
      <c r="M40" s="1">
        <v>46061</v>
      </c>
      <c r="N40">
        <v>1849</v>
      </c>
      <c r="O40">
        <v>2531</v>
      </c>
      <c r="P40" s="2">
        <v>2250.9590163934427</v>
      </c>
    </row>
    <row r="41" spans="1:16" x14ac:dyDescent="0.25">
      <c r="A41" s="2">
        <v>1942</v>
      </c>
      <c r="B41">
        <v>1734</v>
      </c>
      <c r="C41">
        <v>2763</v>
      </c>
      <c r="D41" t="s">
        <v>22</v>
      </c>
      <c r="E41" t="s">
        <v>12</v>
      </c>
      <c r="F41" t="s">
        <v>39</v>
      </c>
      <c r="G41" t="s">
        <v>14</v>
      </c>
      <c r="H41" t="s">
        <v>155</v>
      </c>
      <c r="I41" s="2">
        <v>2763</v>
      </c>
      <c r="J41" t="s">
        <v>156</v>
      </c>
      <c r="K41" s="2">
        <v>1734</v>
      </c>
      <c r="L41" s="4">
        <f t="shared" si="0"/>
        <v>1029</v>
      </c>
      <c r="M41" s="1">
        <v>46062</v>
      </c>
      <c r="N41">
        <v>1849</v>
      </c>
      <c r="O41">
        <v>2540</v>
      </c>
      <c r="P41" s="2">
        <v>2255.2868852459014</v>
      </c>
    </row>
    <row r="42" spans="1:16" x14ac:dyDescent="0.25">
      <c r="A42" s="2">
        <v>1943</v>
      </c>
      <c r="B42">
        <v>1684</v>
      </c>
      <c r="C42">
        <v>2818</v>
      </c>
      <c r="D42" t="s">
        <v>11</v>
      </c>
      <c r="E42" t="s">
        <v>12</v>
      </c>
      <c r="F42" t="s">
        <v>13</v>
      </c>
      <c r="G42" t="s">
        <v>148</v>
      </c>
      <c r="H42" t="s">
        <v>157</v>
      </c>
      <c r="I42" s="2">
        <v>2818</v>
      </c>
      <c r="J42" t="s">
        <v>158</v>
      </c>
      <c r="K42" s="2">
        <v>1684</v>
      </c>
      <c r="L42" s="4">
        <f t="shared" si="0"/>
        <v>1134</v>
      </c>
      <c r="M42" s="1">
        <v>46063</v>
      </c>
      <c r="N42">
        <v>1851</v>
      </c>
      <c r="O42">
        <v>2549</v>
      </c>
      <c r="P42" s="2">
        <v>2259.3524590163934</v>
      </c>
    </row>
    <row r="43" spans="1:16" x14ac:dyDescent="0.25">
      <c r="A43" s="2">
        <v>1944</v>
      </c>
      <c r="B43">
        <v>1811</v>
      </c>
      <c r="C43">
        <v>2879</v>
      </c>
      <c r="D43" t="s">
        <v>11</v>
      </c>
      <c r="E43" t="s">
        <v>12</v>
      </c>
      <c r="F43" t="s">
        <v>159</v>
      </c>
      <c r="G43" t="s">
        <v>24</v>
      </c>
      <c r="H43" t="s">
        <v>160</v>
      </c>
      <c r="I43" s="2">
        <v>2879</v>
      </c>
      <c r="J43" t="s">
        <v>161</v>
      </c>
      <c r="K43" s="2">
        <v>1811</v>
      </c>
      <c r="L43" s="4">
        <f t="shared" si="0"/>
        <v>1068</v>
      </c>
      <c r="M43" s="1">
        <v>46064</v>
      </c>
      <c r="N43">
        <v>1856</v>
      </c>
      <c r="O43">
        <v>2555</v>
      </c>
      <c r="P43" s="2">
        <v>2263.4098360655739</v>
      </c>
    </row>
    <row r="44" spans="1:16" x14ac:dyDescent="0.25">
      <c r="A44" s="2">
        <v>1945</v>
      </c>
      <c r="B44">
        <v>1672</v>
      </c>
      <c r="C44">
        <v>2703</v>
      </c>
      <c r="D44" t="s">
        <v>22</v>
      </c>
      <c r="E44" t="s">
        <v>12</v>
      </c>
      <c r="F44" t="s">
        <v>162</v>
      </c>
      <c r="G44" t="s">
        <v>163</v>
      </c>
      <c r="H44" t="s">
        <v>164</v>
      </c>
      <c r="I44" s="2">
        <v>2703</v>
      </c>
      <c r="J44" t="s">
        <v>165</v>
      </c>
      <c r="K44" s="2">
        <v>1672</v>
      </c>
      <c r="L44" s="4">
        <f t="shared" si="0"/>
        <v>1031</v>
      </c>
      <c r="M44" s="1">
        <v>46065</v>
      </c>
      <c r="N44">
        <v>1858</v>
      </c>
      <c r="O44">
        <v>2560</v>
      </c>
      <c r="P44" s="2">
        <v>2267.377049180328</v>
      </c>
    </row>
    <row r="45" spans="1:16" x14ac:dyDescent="0.25">
      <c r="A45" s="2">
        <v>1946</v>
      </c>
      <c r="B45">
        <v>1762</v>
      </c>
      <c r="C45">
        <v>2798</v>
      </c>
      <c r="D45" t="s">
        <v>11</v>
      </c>
      <c r="E45" t="s">
        <v>12</v>
      </c>
      <c r="F45" t="s">
        <v>131</v>
      </c>
      <c r="G45" t="s">
        <v>67</v>
      </c>
      <c r="H45" t="s">
        <v>166</v>
      </c>
      <c r="I45" s="2">
        <v>2798</v>
      </c>
      <c r="J45" t="s">
        <v>167</v>
      </c>
      <c r="K45" s="2">
        <v>1762</v>
      </c>
      <c r="L45" s="4">
        <f t="shared" si="0"/>
        <v>1036</v>
      </c>
      <c r="M45" s="1">
        <v>46066</v>
      </c>
      <c r="N45">
        <v>1852</v>
      </c>
      <c r="O45">
        <v>2563</v>
      </c>
      <c r="P45" s="2">
        <v>2271.5901639344261</v>
      </c>
    </row>
    <row r="46" spans="1:16" x14ac:dyDescent="0.25">
      <c r="A46" s="2">
        <v>1947</v>
      </c>
      <c r="B46">
        <v>1883</v>
      </c>
      <c r="C46">
        <v>2677</v>
      </c>
      <c r="D46" t="s">
        <v>31</v>
      </c>
      <c r="E46" t="s">
        <v>43</v>
      </c>
      <c r="F46" t="s">
        <v>44</v>
      </c>
      <c r="G46" t="s">
        <v>168</v>
      </c>
      <c r="H46" t="s">
        <v>169</v>
      </c>
      <c r="I46" s="2">
        <v>2677</v>
      </c>
      <c r="J46" t="s">
        <v>170</v>
      </c>
      <c r="K46" s="2">
        <v>1949</v>
      </c>
      <c r="L46" s="4">
        <f t="shared" si="0"/>
        <v>728</v>
      </c>
      <c r="M46" s="1">
        <v>46067</v>
      </c>
      <c r="N46">
        <v>1849</v>
      </c>
      <c r="O46">
        <v>2569</v>
      </c>
      <c r="P46" s="2">
        <v>2276.0245901639346</v>
      </c>
    </row>
    <row r="47" spans="1:16" x14ac:dyDescent="0.25">
      <c r="A47" s="2">
        <v>1948</v>
      </c>
      <c r="B47">
        <v>1569</v>
      </c>
      <c r="C47">
        <v>2751</v>
      </c>
      <c r="D47" t="s">
        <v>22</v>
      </c>
      <c r="E47" t="s">
        <v>12</v>
      </c>
      <c r="F47" t="s">
        <v>171</v>
      </c>
      <c r="G47" t="s">
        <v>172</v>
      </c>
      <c r="H47" t="s">
        <v>173</v>
      </c>
      <c r="I47" s="2">
        <v>2751</v>
      </c>
      <c r="J47" t="s">
        <v>174</v>
      </c>
      <c r="K47" s="2">
        <v>1569</v>
      </c>
      <c r="L47" s="4">
        <f t="shared" si="0"/>
        <v>1182</v>
      </c>
      <c r="M47" s="1">
        <v>46068</v>
      </c>
      <c r="N47">
        <v>1846</v>
      </c>
      <c r="O47">
        <v>2575</v>
      </c>
      <c r="P47" s="2">
        <v>2280.2622950819673</v>
      </c>
    </row>
    <row r="48" spans="1:16" x14ac:dyDescent="0.25">
      <c r="A48" s="2">
        <v>1949</v>
      </c>
      <c r="B48">
        <v>1999</v>
      </c>
      <c r="C48">
        <v>2832</v>
      </c>
      <c r="D48" t="s">
        <v>31</v>
      </c>
      <c r="E48" t="s">
        <v>12</v>
      </c>
      <c r="F48" t="s">
        <v>175</v>
      </c>
      <c r="G48" t="s">
        <v>163</v>
      </c>
      <c r="H48" t="s">
        <v>176</v>
      </c>
      <c r="I48" s="2">
        <v>2832</v>
      </c>
      <c r="J48" t="s">
        <v>177</v>
      </c>
      <c r="K48" s="2">
        <v>2001</v>
      </c>
      <c r="L48" s="4">
        <f t="shared" si="0"/>
        <v>831</v>
      </c>
      <c r="M48" s="1">
        <v>46069</v>
      </c>
      <c r="N48">
        <v>1845</v>
      </c>
      <c r="O48">
        <v>2580</v>
      </c>
      <c r="P48" s="2">
        <v>2284.4180327868853</v>
      </c>
    </row>
    <row r="49" spans="1:16" x14ac:dyDescent="0.25">
      <c r="A49" s="2">
        <v>1950</v>
      </c>
      <c r="B49">
        <v>1574</v>
      </c>
      <c r="C49">
        <v>2825</v>
      </c>
      <c r="D49" t="s">
        <v>11</v>
      </c>
      <c r="E49" t="s">
        <v>12</v>
      </c>
      <c r="F49" t="s">
        <v>178</v>
      </c>
      <c r="G49" t="s">
        <v>59</v>
      </c>
      <c r="H49" t="s">
        <v>179</v>
      </c>
      <c r="I49" s="2">
        <v>2825</v>
      </c>
      <c r="J49" t="s">
        <v>180</v>
      </c>
      <c r="K49" s="2">
        <v>1574</v>
      </c>
      <c r="L49" s="4">
        <f t="shared" si="0"/>
        <v>1251</v>
      </c>
      <c r="M49" s="1">
        <v>46070</v>
      </c>
      <c r="N49">
        <v>1845</v>
      </c>
      <c r="O49">
        <v>2585</v>
      </c>
      <c r="P49" s="2">
        <v>2288.2868852459014</v>
      </c>
    </row>
    <row r="50" spans="1:16" x14ac:dyDescent="0.25">
      <c r="A50" s="2">
        <v>1951</v>
      </c>
      <c r="B50">
        <v>1805</v>
      </c>
      <c r="C50">
        <v>2847</v>
      </c>
      <c r="D50" t="s">
        <v>11</v>
      </c>
      <c r="E50" t="s">
        <v>43</v>
      </c>
      <c r="F50" t="s">
        <v>181</v>
      </c>
      <c r="G50" t="s">
        <v>182</v>
      </c>
      <c r="H50" t="s">
        <v>183</v>
      </c>
      <c r="I50" s="2">
        <v>2847</v>
      </c>
      <c r="J50" t="s">
        <v>184</v>
      </c>
      <c r="K50" s="2">
        <v>1805</v>
      </c>
      <c r="L50" s="4">
        <f t="shared" si="0"/>
        <v>1042</v>
      </c>
      <c r="M50" s="1">
        <v>46071</v>
      </c>
      <c r="N50">
        <v>1845</v>
      </c>
      <c r="O50">
        <v>2588</v>
      </c>
      <c r="P50" s="2">
        <v>2292.4180327868853</v>
      </c>
    </row>
    <row r="51" spans="1:16" x14ac:dyDescent="0.25">
      <c r="A51" s="2">
        <v>1952</v>
      </c>
      <c r="B51">
        <v>1714</v>
      </c>
      <c r="C51">
        <v>2758</v>
      </c>
      <c r="D51" t="s">
        <v>22</v>
      </c>
      <c r="E51" t="s">
        <v>12</v>
      </c>
      <c r="F51" t="s">
        <v>36</v>
      </c>
      <c r="G51" t="s">
        <v>185</v>
      </c>
      <c r="H51" t="s">
        <v>186</v>
      </c>
      <c r="I51" s="2">
        <v>2758</v>
      </c>
      <c r="J51" t="s">
        <v>187</v>
      </c>
      <c r="K51" s="2">
        <v>1714</v>
      </c>
      <c r="L51" s="4">
        <f t="shared" si="0"/>
        <v>1044</v>
      </c>
      <c r="M51" s="1">
        <v>46072</v>
      </c>
      <c r="N51">
        <v>1846</v>
      </c>
      <c r="O51">
        <v>2590</v>
      </c>
      <c r="P51" s="2">
        <v>2296.655737704918</v>
      </c>
    </row>
    <row r="52" spans="1:16" x14ac:dyDescent="0.25">
      <c r="A52" s="2">
        <v>1953</v>
      </c>
      <c r="B52">
        <v>1707</v>
      </c>
      <c r="C52">
        <v>2969</v>
      </c>
      <c r="D52" t="s">
        <v>22</v>
      </c>
      <c r="E52" t="s">
        <v>12</v>
      </c>
      <c r="F52" t="s">
        <v>188</v>
      </c>
      <c r="G52" t="s">
        <v>33</v>
      </c>
      <c r="H52" t="s">
        <v>189</v>
      </c>
      <c r="I52" s="2">
        <v>2969</v>
      </c>
      <c r="J52" t="s">
        <v>190</v>
      </c>
      <c r="K52" s="2">
        <v>1707</v>
      </c>
      <c r="L52" s="4">
        <f t="shared" si="0"/>
        <v>1262</v>
      </c>
      <c r="M52" s="1">
        <v>46073</v>
      </c>
      <c r="N52">
        <v>1848</v>
      </c>
      <c r="O52">
        <v>2594</v>
      </c>
      <c r="P52" s="2">
        <v>2301.0081967213114</v>
      </c>
    </row>
    <row r="53" spans="1:16" x14ac:dyDescent="0.25">
      <c r="A53" s="2">
        <v>1954</v>
      </c>
      <c r="B53">
        <v>1763</v>
      </c>
      <c r="C53">
        <v>2849</v>
      </c>
      <c r="D53" t="s">
        <v>22</v>
      </c>
      <c r="E53" t="s">
        <v>12</v>
      </c>
      <c r="F53" t="s">
        <v>171</v>
      </c>
      <c r="G53" t="s">
        <v>40</v>
      </c>
      <c r="H53" t="s">
        <v>191</v>
      </c>
      <c r="I53" s="2">
        <v>2849</v>
      </c>
      <c r="J53" t="s">
        <v>192</v>
      </c>
      <c r="K53" s="2">
        <v>1763</v>
      </c>
      <c r="L53" s="4">
        <f t="shared" si="0"/>
        <v>1086</v>
      </c>
      <c r="M53" s="1">
        <v>46074</v>
      </c>
      <c r="N53">
        <v>1848</v>
      </c>
      <c r="O53">
        <v>2599</v>
      </c>
      <c r="P53" s="2">
        <v>2305.2295081967213</v>
      </c>
    </row>
    <row r="54" spans="1:16" x14ac:dyDescent="0.25">
      <c r="A54" s="2">
        <v>1955</v>
      </c>
      <c r="B54">
        <v>1603</v>
      </c>
      <c r="C54">
        <v>2853</v>
      </c>
      <c r="D54" t="s">
        <v>11</v>
      </c>
      <c r="E54" t="s">
        <v>12</v>
      </c>
      <c r="F54" t="s">
        <v>193</v>
      </c>
      <c r="G54" t="s">
        <v>194</v>
      </c>
      <c r="H54" t="s">
        <v>195</v>
      </c>
      <c r="I54" s="2">
        <v>2853</v>
      </c>
      <c r="J54" t="s">
        <v>196</v>
      </c>
      <c r="K54" s="2">
        <v>1603</v>
      </c>
      <c r="L54" s="4">
        <f t="shared" si="0"/>
        <v>1250</v>
      </c>
      <c r="M54" s="1">
        <v>46075</v>
      </c>
      <c r="N54">
        <v>1849</v>
      </c>
      <c r="O54">
        <v>2604</v>
      </c>
      <c r="P54" s="2">
        <v>2309.311475409836</v>
      </c>
    </row>
    <row r="55" spans="1:16" x14ac:dyDescent="0.25">
      <c r="A55" s="2">
        <v>1956</v>
      </c>
      <c r="B55">
        <v>1880</v>
      </c>
      <c r="C55">
        <v>2765</v>
      </c>
      <c r="D55" t="s">
        <v>31</v>
      </c>
      <c r="E55" t="s">
        <v>12</v>
      </c>
      <c r="F55" t="s">
        <v>44</v>
      </c>
      <c r="G55" t="s">
        <v>24</v>
      </c>
      <c r="H55" t="s">
        <v>197</v>
      </c>
      <c r="I55" s="2">
        <v>2765</v>
      </c>
      <c r="J55" t="s">
        <v>198</v>
      </c>
      <c r="K55" s="2">
        <v>2089</v>
      </c>
      <c r="L55" s="4">
        <f t="shared" si="0"/>
        <v>676</v>
      </c>
      <c r="M55" s="1">
        <v>46076</v>
      </c>
      <c r="N55">
        <v>1850</v>
      </c>
      <c r="O55">
        <v>2609</v>
      </c>
      <c r="P55" s="2">
        <v>2313.4508196721313</v>
      </c>
    </row>
    <row r="56" spans="1:16" x14ac:dyDescent="0.25">
      <c r="A56" s="2">
        <v>1957</v>
      </c>
      <c r="B56">
        <v>1651</v>
      </c>
      <c r="C56">
        <v>2733</v>
      </c>
      <c r="D56" t="s">
        <v>22</v>
      </c>
      <c r="E56" t="s">
        <v>43</v>
      </c>
      <c r="F56" t="s">
        <v>151</v>
      </c>
      <c r="G56" t="s">
        <v>199</v>
      </c>
      <c r="H56" t="s">
        <v>200</v>
      </c>
      <c r="I56" s="2">
        <v>2733</v>
      </c>
      <c r="J56" t="s">
        <v>201</v>
      </c>
      <c r="K56" s="2">
        <v>1651</v>
      </c>
      <c r="L56" s="4">
        <f t="shared" si="0"/>
        <v>1082</v>
      </c>
      <c r="M56" s="1">
        <v>46077</v>
      </c>
      <c r="N56">
        <v>1851</v>
      </c>
      <c r="O56">
        <v>2613</v>
      </c>
      <c r="P56" s="2">
        <v>2317.7131147540986</v>
      </c>
    </row>
    <row r="57" spans="1:16" x14ac:dyDescent="0.25">
      <c r="A57" s="2">
        <v>1958</v>
      </c>
      <c r="B57">
        <v>1474</v>
      </c>
      <c r="C57">
        <v>2758</v>
      </c>
      <c r="D57" t="s">
        <v>22</v>
      </c>
      <c r="E57" t="s">
        <v>62</v>
      </c>
      <c r="F57" t="s">
        <v>171</v>
      </c>
      <c r="G57" t="s">
        <v>152</v>
      </c>
      <c r="H57" t="s">
        <v>202</v>
      </c>
      <c r="I57" s="2">
        <v>2758</v>
      </c>
      <c r="J57" t="s">
        <v>203</v>
      </c>
      <c r="K57" s="2">
        <v>1474</v>
      </c>
      <c r="L57" s="4">
        <f t="shared" si="0"/>
        <v>1284</v>
      </c>
      <c r="M57" s="1">
        <v>46078</v>
      </c>
      <c r="N57">
        <v>1851</v>
      </c>
      <c r="O57">
        <v>2617</v>
      </c>
      <c r="P57" s="2">
        <v>2321.7704918032787</v>
      </c>
    </row>
    <row r="58" spans="1:16" x14ac:dyDescent="0.25">
      <c r="A58" s="2">
        <v>1959</v>
      </c>
      <c r="B58">
        <v>1867</v>
      </c>
      <c r="C58">
        <v>2771</v>
      </c>
      <c r="D58" t="s">
        <v>22</v>
      </c>
      <c r="E58" t="s">
        <v>12</v>
      </c>
      <c r="F58" t="s">
        <v>85</v>
      </c>
      <c r="G58" t="s">
        <v>148</v>
      </c>
      <c r="H58" t="s">
        <v>204</v>
      </c>
      <c r="I58" s="2">
        <v>2771</v>
      </c>
      <c r="J58" t="s">
        <v>205</v>
      </c>
      <c r="K58" s="2">
        <v>1867</v>
      </c>
      <c r="L58" s="4">
        <f t="shared" si="0"/>
        <v>904</v>
      </c>
      <c r="M58" s="1">
        <v>46079</v>
      </c>
      <c r="N58">
        <v>1847</v>
      </c>
      <c r="O58">
        <v>2619</v>
      </c>
      <c r="P58" s="2">
        <v>2325.9836065573772</v>
      </c>
    </row>
    <row r="59" spans="1:16" x14ac:dyDescent="0.25">
      <c r="A59" s="2">
        <v>1960</v>
      </c>
      <c r="B59">
        <v>1833</v>
      </c>
      <c r="C59">
        <v>2756</v>
      </c>
      <c r="D59" t="s">
        <v>11</v>
      </c>
      <c r="E59" t="s">
        <v>12</v>
      </c>
      <c r="F59" t="s">
        <v>206</v>
      </c>
      <c r="G59" t="s">
        <v>207</v>
      </c>
      <c r="H59" t="s">
        <v>208</v>
      </c>
      <c r="I59" s="2">
        <v>2756</v>
      </c>
      <c r="J59" t="s">
        <v>209</v>
      </c>
      <c r="K59" s="2">
        <v>1833</v>
      </c>
      <c r="L59" s="4">
        <f t="shared" si="0"/>
        <v>923</v>
      </c>
      <c r="M59" s="1">
        <v>46080</v>
      </c>
      <c r="N59">
        <v>1844</v>
      </c>
      <c r="O59">
        <v>2621</v>
      </c>
      <c r="P59" s="2">
        <v>2330.4426229508199</v>
      </c>
    </row>
    <row r="60" spans="1:16" x14ac:dyDescent="0.25">
      <c r="A60" s="2">
        <v>1961</v>
      </c>
      <c r="B60">
        <v>1596</v>
      </c>
      <c r="C60">
        <v>2713</v>
      </c>
      <c r="D60" t="s">
        <v>22</v>
      </c>
      <c r="E60" t="s">
        <v>43</v>
      </c>
      <c r="F60" t="s">
        <v>101</v>
      </c>
      <c r="G60" t="s">
        <v>210</v>
      </c>
      <c r="H60" t="s">
        <v>211</v>
      </c>
      <c r="I60" s="2">
        <v>2713</v>
      </c>
      <c r="J60" t="s">
        <v>212</v>
      </c>
      <c r="K60" s="2">
        <v>1596</v>
      </c>
      <c r="L60" s="4">
        <f t="shared" si="0"/>
        <v>1117</v>
      </c>
      <c r="M60" s="1">
        <v>46081</v>
      </c>
      <c r="N60">
        <v>1843</v>
      </c>
      <c r="O60">
        <v>2624</v>
      </c>
      <c r="P60" s="2">
        <v>2334.7786885245901</v>
      </c>
    </row>
    <row r="61" spans="1:16" x14ac:dyDescent="0.25">
      <c r="A61" s="2">
        <v>1962</v>
      </c>
      <c r="B61">
        <v>1715</v>
      </c>
      <c r="C61">
        <v>2833</v>
      </c>
      <c r="D61" t="s">
        <v>22</v>
      </c>
      <c r="E61" t="s">
        <v>43</v>
      </c>
      <c r="F61" t="s">
        <v>126</v>
      </c>
      <c r="G61" t="s">
        <v>213</v>
      </c>
      <c r="H61" t="s">
        <v>214</v>
      </c>
      <c r="I61" s="2">
        <v>2833</v>
      </c>
      <c r="J61" t="s">
        <v>215</v>
      </c>
      <c r="K61" s="2">
        <v>1715</v>
      </c>
      <c r="L61" s="4">
        <f t="shared" si="0"/>
        <v>1118</v>
      </c>
      <c r="M61" s="1">
        <v>46082</v>
      </c>
      <c r="N61">
        <v>1841</v>
      </c>
      <c r="O61">
        <v>2627</v>
      </c>
      <c r="P61" s="2">
        <v>2339.844262295082</v>
      </c>
    </row>
    <row r="62" spans="1:16" x14ac:dyDescent="0.25">
      <c r="A62" s="2">
        <v>1963</v>
      </c>
      <c r="B62">
        <v>1364</v>
      </c>
      <c r="C62">
        <v>2731</v>
      </c>
      <c r="D62" t="s">
        <v>22</v>
      </c>
      <c r="E62" t="s">
        <v>12</v>
      </c>
      <c r="F62" t="s">
        <v>36</v>
      </c>
      <c r="G62" t="s">
        <v>59</v>
      </c>
      <c r="H62" t="s">
        <v>216</v>
      </c>
      <c r="I62" s="2">
        <v>2731</v>
      </c>
      <c r="J62" t="s">
        <v>217</v>
      </c>
      <c r="K62" s="2">
        <v>1364</v>
      </c>
      <c r="L62" s="4">
        <f t="shared" si="0"/>
        <v>1367</v>
      </c>
      <c r="M62" s="1">
        <v>46083</v>
      </c>
      <c r="N62">
        <v>1841</v>
      </c>
      <c r="O62">
        <v>2629</v>
      </c>
      <c r="P62" s="2">
        <v>2344.0491803278687</v>
      </c>
    </row>
    <row r="63" spans="1:16" x14ac:dyDescent="0.25">
      <c r="A63" s="2">
        <v>1964</v>
      </c>
      <c r="B63">
        <v>1841</v>
      </c>
      <c r="C63">
        <v>2591</v>
      </c>
      <c r="D63" t="s">
        <v>218</v>
      </c>
      <c r="E63" t="s">
        <v>43</v>
      </c>
      <c r="F63" t="s">
        <v>219</v>
      </c>
      <c r="G63" t="s">
        <v>220</v>
      </c>
      <c r="H63" t="s">
        <v>221</v>
      </c>
      <c r="I63" s="2">
        <v>2591</v>
      </c>
      <c r="J63" t="s">
        <v>222</v>
      </c>
      <c r="K63" s="2">
        <v>1841</v>
      </c>
      <c r="L63" s="4">
        <f t="shared" si="0"/>
        <v>750</v>
      </c>
      <c r="M63" s="1">
        <v>46084</v>
      </c>
      <c r="N63">
        <v>1843</v>
      </c>
      <c r="O63">
        <v>2634</v>
      </c>
      <c r="P63" s="2">
        <v>2348.4918032786886</v>
      </c>
    </row>
    <row r="64" spans="1:16" x14ac:dyDescent="0.25">
      <c r="A64" s="2">
        <v>1965</v>
      </c>
      <c r="B64">
        <v>1600</v>
      </c>
      <c r="C64">
        <v>2658</v>
      </c>
      <c r="D64" t="s">
        <v>11</v>
      </c>
      <c r="E64" t="s">
        <v>12</v>
      </c>
      <c r="F64" t="s">
        <v>13</v>
      </c>
      <c r="G64" t="s">
        <v>71</v>
      </c>
      <c r="H64" t="s">
        <v>223</v>
      </c>
      <c r="I64" s="2">
        <v>2658</v>
      </c>
      <c r="J64" t="s">
        <v>224</v>
      </c>
      <c r="K64" s="2">
        <v>1600</v>
      </c>
      <c r="L64" s="4">
        <f t="shared" si="0"/>
        <v>1058</v>
      </c>
      <c r="M64" s="1">
        <v>46085</v>
      </c>
      <c r="N64">
        <v>1844</v>
      </c>
      <c r="O64">
        <v>2640</v>
      </c>
      <c r="P64" s="2">
        <v>2352.8606557377047</v>
      </c>
    </row>
    <row r="65" spans="1:16" x14ac:dyDescent="0.25">
      <c r="A65" s="2">
        <v>1966</v>
      </c>
      <c r="B65">
        <v>1676</v>
      </c>
      <c r="C65">
        <v>2641</v>
      </c>
      <c r="D65" t="s">
        <v>11</v>
      </c>
      <c r="E65" t="s">
        <v>12</v>
      </c>
      <c r="F65" t="s">
        <v>225</v>
      </c>
      <c r="G65" t="s">
        <v>113</v>
      </c>
      <c r="H65" t="s">
        <v>226</v>
      </c>
      <c r="I65" s="2">
        <v>2641</v>
      </c>
      <c r="J65" t="s">
        <v>227</v>
      </c>
      <c r="K65" s="2">
        <v>1676</v>
      </c>
      <c r="L65" s="4">
        <f t="shared" si="0"/>
        <v>965</v>
      </c>
      <c r="M65" s="1">
        <v>46086</v>
      </c>
      <c r="N65">
        <v>1849</v>
      </c>
      <c r="O65">
        <v>2647</v>
      </c>
      <c r="P65" s="2">
        <v>2357.0163934426228</v>
      </c>
    </row>
    <row r="66" spans="1:16" x14ac:dyDescent="0.25">
      <c r="A66" s="2">
        <v>1967</v>
      </c>
      <c r="B66">
        <v>1618</v>
      </c>
      <c r="C66">
        <v>2791</v>
      </c>
      <c r="D66" t="s">
        <v>22</v>
      </c>
      <c r="E66" t="s">
        <v>12</v>
      </c>
      <c r="F66" t="s">
        <v>126</v>
      </c>
      <c r="G66" t="s">
        <v>51</v>
      </c>
      <c r="H66" t="s">
        <v>228</v>
      </c>
      <c r="I66" s="2">
        <v>2791</v>
      </c>
      <c r="J66" t="s">
        <v>229</v>
      </c>
      <c r="K66" s="2">
        <v>1618</v>
      </c>
      <c r="L66" s="4">
        <f t="shared" si="0"/>
        <v>1173</v>
      </c>
      <c r="M66" s="1">
        <v>46087</v>
      </c>
      <c r="N66">
        <v>1857</v>
      </c>
      <c r="O66">
        <v>2651</v>
      </c>
      <c r="P66" s="2">
        <v>2361.3688524590166</v>
      </c>
    </row>
    <row r="67" spans="1:16" x14ac:dyDescent="0.25">
      <c r="A67" s="2">
        <v>1968</v>
      </c>
      <c r="B67">
        <v>1903</v>
      </c>
      <c r="C67">
        <v>2713</v>
      </c>
      <c r="D67" t="s">
        <v>31</v>
      </c>
      <c r="E67" t="s">
        <v>12</v>
      </c>
      <c r="F67" t="s">
        <v>44</v>
      </c>
      <c r="G67" t="s">
        <v>230</v>
      </c>
      <c r="H67" t="s">
        <v>231</v>
      </c>
      <c r="I67" s="2">
        <v>2713</v>
      </c>
      <c r="J67" t="s">
        <v>232</v>
      </c>
      <c r="K67" s="2">
        <v>2104</v>
      </c>
      <c r="L67" s="4">
        <f t="shared" ref="L67:L124" si="1">I67-K67</f>
        <v>609</v>
      </c>
      <c r="M67" s="1">
        <v>46088</v>
      </c>
      <c r="N67">
        <v>1866</v>
      </c>
      <c r="O67">
        <v>2656</v>
      </c>
      <c r="P67" s="2">
        <v>2365.6393442622953</v>
      </c>
    </row>
    <row r="68" spans="1:16" x14ac:dyDescent="0.25">
      <c r="A68" s="2">
        <v>1969</v>
      </c>
      <c r="B68">
        <v>1686</v>
      </c>
      <c r="C68">
        <v>2740</v>
      </c>
      <c r="D68" t="s">
        <v>17</v>
      </c>
      <c r="E68" t="s">
        <v>62</v>
      </c>
      <c r="F68" t="s">
        <v>233</v>
      </c>
      <c r="G68" t="s">
        <v>234</v>
      </c>
      <c r="H68" t="s">
        <v>235</v>
      </c>
      <c r="I68" s="2">
        <v>2740</v>
      </c>
      <c r="J68" t="s">
        <v>236</v>
      </c>
      <c r="K68" s="2">
        <v>1686</v>
      </c>
      <c r="L68" s="4">
        <f t="shared" si="1"/>
        <v>1054</v>
      </c>
      <c r="M68" s="1">
        <v>46089</v>
      </c>
      <c r="N68">
        <v>1875</v>
      </c>
      <c r="O68">
        <v>2661</v>
      </c>
      <c r="P68" s="2">
        <v>2370.0081967213114</v>
      </c>
    </row>
    <row r="69" spans="1:16" x14ac:dyDescent="0.25">
      <c r="A69" s="2">
        <v>1970</v>
      </c>
      <c r="B69">
        <v>1819</v>
      </c>
      <c r="C69">
        <v>2831</v>
      </c>
      <c r="D69" t="s">
        <v>11</v>
      </c>
      <c r="E69" t="s">
        <v>12</v>
      </c>
      <c r="F69" t="s">
        <v>237</v>
      </c>
      <c r="G69" t="s">
        <v>19</v>
      </c>
      <c r="H69" t="s">
        <v>238</v>
      </c>
      <c r="I69" s="2">
        <v>2831</v>
      </c>
      <c r="J69" t="s">
        <v>239</v>
      </c>
      <c r="K69" s="2">
        <v>1819</v>
      </c>
      <c r="L69" s="4">
        <f t="shared" si="1"/>
        <v>1012</v>
      </c>
      <c r="M69" s="1">
        <v>46090</v>
      </c>
      <c r="N69">
        <v>1884</v>
      </c>
      <c r="O69">
        <v>2668</v>
      </c>
      <c r="P69" s="2">
        <v>2374.0819672131147</v>
      </c>
    </row>
    <row r="70" spans="1:16" x14ac:dyDescent="0.25">
      <c r="A70" s="2">
        <v>1971</v>
      </c>
      <c r="B70">
        <v>1887</v>
      </c>
      <c r="C70">
        <v>2912</v>
      </c>
      <c r="D70" t="s">
        <v>31</v>
      </c>
      <c r="E70" t="s">
        <v>12</v>
      </c>
      <c r="F70" t="s">
        <v>44</v>
      </c>
      <c r="G70" t="s">
        <v>91</v>
      </c>
      <c r="H70" t="s">
        <v>240</v>
      </c>
      <c r="I70" s="2">
        <v>2912</v>
      </c>
      <c r="J70" t="s">
        <v>241</v>
      </c>
      <c r="K70" s="2">
        <v>2114</v>
      </c>
      <c r="L70" s="4">
        <f t="shared" si="1"/>
        <v>798</v>
      </c>
      <c r="M70" s="1">
        <v>46091</v>
      </c>
      <c r="N70">
        <v>1893</v>
      </c>
      <c r="O70">
        <v>2676</v>
      </c>
      <c r="P70" s="2">
        <v>2378.5573770491801</v>
      </c>
    </row>
    <row r="71" spans="1:16" x14ac:dyDescent="0.25">
      <c r="A71" s="2">
        <v>1972</v>
      </c>
      <c r="B71">
        <v>2002</v>
      </c>
      <c r="C71">
        <v>2870</v>
      </c>
      <c r="D71" t="s">
        <v>11</v>
      </c>
      <c r="E71" t="s">
        <v>12</v>
      </c>
      <c r="F71" t="s">
        <v>178</v>
      </c>
      <c r="G71" t="s">
        <v>172</v>
      </c>
      <c r="H71" t="s">
        <v>242</v>
      </c>
      <c r="I71" s="2">
        <v>2870</v>
      </c>
      <c r="J71" t="s">
        <v>243</v>
      </c>
      <c r="K71" s="2">
        <v>2002</v>
      </c>
      <c r="L71" s="4">
        <f t="shared" si="1"/>
        <v>868</v>
      </c>
      <c r="M71" s="1">
        <v>46092</v>
      </c>
      <c r="N71">
        <v>1903</v>
      </c>
      <c r="O71">
        <v>2682</v>
      </c>
      <c r="P71" s="2">
        <v>2382.8032786885246</v>
      </c>
    </row>
    <row r="72" spans="1:16" x14ac:dyDescent="0.25">
      <c r="A72" s="2">
        <v>1973</v>
      </c>
      <c r="B72">
        <v>2116</v>
      </c>
      <c r="C72">
        <v>2857</v>
      </c>
      <c r="D72" t="s">
        <v>11</v>
      </c>
      <c r="E72" t="s">
        <v>43</v>
      </c>
      <c r="F72" t="s">
        <v>244</v>
      </c>
      <c r="G72" t="s">
        <v>82</v>
      </c>
      <c r="H72" t="s">
        <v>245</v>
      </c>
      <c r="I72" s="2">
        <v>2857</v>
      </c>
      <c r="J72" t="s">
        <v>246</v>
      </c>
      <c r="K72" s="2">
        <v>2116</v>
      </c>
      <c r="L72" s="4">
        <f t="shared" si="1"/>
        <v>741</v>
      </c>
      <c r="M72" s="1">
        <v>46093</v>
      </c>
      <c r="N72">
        <v>1913</v>
      </c>
      <c r="O72">
        <v>2688</v>
      </c>
      <c r="P72" s="2">
        <v>2387.377049180328</v>
      </c>
    </row>
    <row r="73" spans="1:16" x14ac:dyDescent="0.25">
      <c r="A73" s="2">
        <v>1974</v>
      </c>
      <c r="B73">
        <v>2184</v>
      </c>
      <c r="C73">
        <v>2846</v>
      </c>
      <c r="D73" t="s">
        <v>17</v>
      </c>
      <c r="E73" t="s">
        <v>43</v>
      </c>
      <c r="F73" t="s">
        <v>18</v>
      </c>
      <c r="G73" t="s">
        <v>45</v>
      </c>
      <c r="H73" t="s">
        <v>247</v>
      </c>
      <c r="I73" s="2">
        <v>2846</v>
      </c>
      <c r="J73" t="s">
        <v>248</v>
      </c>
      <c r="K73" s="2">
        <v>2184</v>
      </c>
      <c r="L73" s="4">
        <f t="shared" si="1"/>
        <v>662</v>
      </c>
      <c r="M73" s="1">
        <v>46094</v>
      </c>
      <c r="N73">
        <v>1923</v>
      </c>
      <c r="O73">
        <v>2692</v>
      </c>
      <c r="P73" s="2">
        <v>2391.6721311475408</v>
      </c>
    </row>
    <row r="74" spans="1:16" x14ac:dyDescent="0.25">
      <c r="A74" s="2">
        <v>1975</v>
      </c>
      <c r="B74">
        <v>1932</v>
      </c>
      <c r="C74">
        <v>2911</v>
      </c>
      <c r="D74" t="s">
        <v>11</v>
      </c>
      <c r="E74" t="s">
        <v>12</v>
      </c>
      <c r="F74" t="s">
        <v>249</v>
      </c>
      <c r="G74" t="s">
        <v>117</v>
      </c>
      <c r="H74" t="s">
        <v>250</v>
      </c>
      <c r="I74" s="2">
        <v>2911</v>
      </c>
      <c r="J74" t="s">
        <v>251</v>
      </c>
      <c r="K74" s="2">
        <v>1932</v>
      </c>
      <c r="L74" s="4">
        <f t="shared" si="1"/>
        <v>979</v>
      </c>
      <c r="M74" s="1">
        <v>46095</v>
      </c>
      <c r="N74">
        <v>1933</v>
      </c>
      <c r="O74">
        <v>2698</v>
      </c>
      <c r="P74" s="2">
        <v>2396.0901639344261</v>
      </c>
    </row>
    <row r="75" spans="1:16" x14ac:dyDescent="0.25">
      <c r="A75" s="2">
        <v>1976</v>
      </c>
      <c r="B75">
        <v>1805</v>
      </c>
      <c r="C75">
        <v>2961</v>
      </c>
      <c r="D75" t="s">
        <v>11</v>
      </c>
      <c r="E75" t="s">
        <v>12</v>
      </c>
      <c r="F75" t="s">
        <v>88</v>
      </c>
      <c r="G75" t="s">
        <v>40</v>
      </c>
      <c r="H75" t="s">
        <v>252</v>
      </c>
      <c r="I75" s="2">
        <v>2961</v>
      </c>
      <c r="J75" t="s">
        <v>253</v>
      </c>
      <c r="K75" s="2">
        <v>1805</v>
      </c>
      <c r="L75" s="4">
        <f t="shared" si="1"/>
        <v>1156</v>
      </c>
      <c r="M75" s="1">
        <v>46096</v>
      </c>
      <c r="N75">
        <v>1943</v>
      </c>
      <c r="O75">
        <v>2702</v>
      </c>
      <c r="P75" s="2">
        <v>2400.5983606557379</v>
      </c>
    </row>
    <row r="76" spans="1:16" x14ac:dyDescent="0.25">
      <c r="A76" s="2">
        <v>1977</v>
      </c>
      <c r="B76">
        <v>2025</v>
      </c>
      <c r="C76">
        <v>2845</v>
      </c>
      <c r="D76" t="s">
        <v>31</v>
      </c>
      <c r="E76" t="s">
        <v>12</v>
      </c>
      <c r="F76" t="s">
        <v>44</v>
      </c>
      <c r="G76" t="s">
        <v>207</v>
      </c>
      <c r="H76" t="s">
        <v>254</v>
      </c>
      <c r="I76" s="2">
        <v>2845</v>
      </c>
      <c r="J76" t="s">
        <v>255</v>
      </c>
      <c r="K76" s="2">
        <v>2066</v>
      </c>
      <c r="L76" s="4">
        <f t="shared" si="1"/>
        <v>779</v>
      </c>
      <c r="M76" s="1">
        <v>46097</v>
      </c>
      <c r="N76">
        <v>1952</v>
      </c>
      <c r="O76">
        <v>2707</v>
      </c>
      <c r="P76" s="2">
        <v>2405.0819672131147</v>
      </c>
    </row>
    <row r="77" spans="1:16" x14ac:dyDescent="0.25">
      <c r="A77" s="2">
        <v>1978</v>
      </c>
      <c r="B77">
        <v>2012</v>
      </c>
      <c r="C77">
        <v>2811</v>
      </c>
      <c r="D77" t="s">
        <v>17</v>
      </c>
      <c r="E77" t="s">
        <v>12</v>
      </c>
      <c r="F77" t="s">
        <v>256</v>
      </c>
      <c r="G77" t="s">
        <v>163</v>
      </c>
      <c r="H77" t="s">
        <v>257</v>
      </c>
      <c r="I77" s="2">
        <v>2811</v>
      </c>
      <c r="J77" t="s">
        <v>258</v>
      </c>
      <c r="K77" s="2">
        <v>2012</v>
      </c>
      <c r="L77" s="4">
        <f t="shared" si="1"/>
        <v>799</v>
      </c>
      <c r="M77" s="1">
        <v>46098</v>
      </c>
      <c r="N77">
        <v>1962</v>
      </c>
      <c r="O77">
        <v>2711</v>
      </c>
      <c r="P77" s="2">
        <v>2409.8196721311474</v>
      </c>
    </row>
    <row r="78" spans="1:16" x14ac:dyDescent="0.25">
      <c r="A78" s="2">
        <v>1979</v>
      </c>
      <c r="B78">
        <v>1744</v>
      </c>
      <c r="C78">
        <v>2823</v>
      </c>
      <c r="D78" t="s">
        <v>22</v>
      </c>
      <c r="E78" t="s">
        <v>12</v>
      </c>
      <c r="F78" t="s">
        <v>104</v>
      </c>
      <c r="G78" t="s">
        <v>14</v>
      </c>
      <c r="H78" t="s">
        <v>259</v>
      </c>
      <c r="I78" s="2">
        <v>2823</v>
      </c>
      <c r="J78" t="s">
        <v>260</v>
      </c>
      <c r="K78" s="2">
        <v>1744</v>
      </c>
      <c r="L78" s="4">
        <f t="shared" si="1"/>
        <v>1079</v>
      </c>
      <c r="M78" s="1">
        <v>46099</v>
      </c>
      <c r="N78">
        <v>1969</v>
      </c>
      <c r="O78">
        <v>2714</v>
      </c>
      <c r="P78" s="2">
        <v>2414.3934426229507</v>
      </c>
    </row>
    <row r="79" spans="1:16" x14ac:dyDescent="0.25">
      <c r="A79" s="2">
        <v>1980</v>
      </c>
      <c r="B79">
        <v>1768</v>
      </c>
      <c r="C79">
        <v>2600</v>
      </c>
      <c r="D79" t="s">
        <v>22</v>
      </c>
      <c r="E79" t="s">
        <v>43</v>
      </c>
      <c r="F79" t="s">
        <v>261</v>
      </c>
      <c r="G79" t="s">
        <v>262</v>
      </c>
      <c r="H79" t="s">
        <v>263</v>
      </c>
      <c r="I79" s="2">
        <v>2600</v>
      </c>
      <c r="J79" t="s">
        <v>264</v>
      </c>
      <c r="K79" s="2">
        <v>1768</v>
      </c>
      <c r="L79" s="4">
        <f t="shared" si="1"/>
        <v>832</v>
      </c>
      <c r="M79" s="1">
        <v>46100</v>
      </c>
      <c r="N79">
        <v>1968</v>
      </c>
      <c r="O79">
        <v>2717</v>
      </c>
      <c r="P79" s="2">
        <v>2419.0737704918033</v>
      </c>
    </row>
    <row r="80" spans="1:16" x14ac:dyDescent="0.25">
      <c r="A80" s="2">
        <v>1981</v>
      </c>
      <c r="B80">
        <v>1724</v>
      </c>
      <c r="C80">
        <v>2685</v>
      </c>
      <c r="D80" t="s">
        <v>11</v>
      </c>
      <c r="E80" t="s">
        <v>12</v>
      </c>
      <c r="F80" t="s">
        <v>237</v>
      </c>
      <c r="G80" t="s">
        <v>24</v>
      </c>
      <c r="H80" t="s">
        <v>265</v>
      </c>
      <c r="I80" s="2">
        <v>2685</v>
      </c>
      <c r="J80" t="s">
        <v>266</v>
      </c>
      <c r="K80" s="2">
        <v>1724</v>
      </c>
      <c r="L80" s="4">
        <f t="shared" si="1"/>
        <v>961</v>
      </c>
      <c r="M80" s="1">
        <v>46101</v>
      </c>
      <c r="N80">
        <v>1967</v>
      </c>
      <c r="O80">
        <v>2720</v>
      </c>
      <c r="P80" s="2">
        <v>2423.9590163934427</v>
      </c>
    </row>
    <row r="81" spans="1:16" x14ac:dyDescent="0.25">
      <c r="A81" s="2">
        <v>1982</v>
      </c>
      <c r="B81">
        <v>1828</v>
      </c>
      <c r="C81">
        <v>2897</v>
      </c>
      <c r="D81" t="s">
        <v>11</v>
      </c>
      <c r="E81" t="s">
        <v>12</v>
      </c>
      <c r="F81" t="s">
        <v>267</v>
      </c>
      <c r="G81" t="s">
        <v>24</v>
      </c>
      <c r="H81" t="s">
        <v>268</v>
      </c>
      <c r="I81" s="2">
        <v>2897</v>
      </c>
      <c r="J81" t="s">
        <v>269</v>
      </c>
      <c r="K81" s="2">
        <v>1828</v>
      </c>
      <c r="L81" s="4">
        <f t="shared" si="1"/>
        <v>1069</v>
      </c>
      <c r="M81" s="1">
        <v>46102</v>
      </c>
      <c r="N81">
        <v>1967</v>
      </c>
      <c r="O81">
        <v>2723</v>
      </c>
      <c r="P81" s="2">
        <v>2428.9508196721313</v>
      </c>
    </row>
    <row r="82" spans="1:16" x14ac:dyDescent="0.25">
      <c r="A82" s="2">
        <v>1983</v>
      </c>
      <c r="B82">
        <v>1708</v>
      </c>
      <c r="C82">
        <v>2652</v>
      </c>
      <c r="D82" t="s">
        <v>22</v>
      </c>
      <c r="E82" t="s">
        <v>12</v>
      </c>
      <c r="F82" t="s">
        <v>270</v>
      </c>
      <c r="G82" t="s">
        <v>121</v>
      </c>
      <c r="H82" t="s">
        <v>271</v>
      </c>
      <c r="I82" s="2">
        <v>2652</v>
      </c>
      <c r="J82" t="s">
        <v>272</v>
      </c>
      <c r="K82" s="2">
        <v>1708</v>
      </c>
      <c r="L82" s="4">
        <f t="shared" si="1"/>
        <v>944</v>
      </c>
      <c r="M82" s="1">
        <v>46103</v>
      </c>
      <c r="N82">
        <v>1967</v>
      </c>
      <c r="O82">
        <v>2728</v>
      </c>
      <c r="P82" s="2">
        <v>2434.2049180327867</v>
      </c>
    </row>
    <row r="83" spans="1:16" x14ac:dyDescent="0.25">
      <c r="A83" s="2">
        <v>1984</v>
      </c>
      <c r="B83">
        <v>1958</v>
      </c>
      <c r="C83">
        <v>2803</v>
      </c>
      <c r="D83" t="s">
        <v>22</v>
      </c>
      <c r="E83" t="s">
        <v>12</v>
      </c>
      <c r="F83" t="s">
        <v>188</v>
      </c>
      <c r="G83" t="s">
        <v>163</v>
      </c>
      <c r="H83" t="s">
        <v>273</v>
      </c>
      <c r="I83" s="2">
        <v>2803</v>
      </c>
      <c r="J83" t="s">
        <v>274</v>
      </c>
      <c r="K83" s="2">
        <v>1958</v>
      </c>
      <c r="L83" s="4">
        <f t="shared" si="1"/>
        <v>845</v>
      </c>
      <c r="M83" s="1">
        <v>46104</v>
      </c>
      <c r="N83">
        <v>1969</v>
      </c>
      <c r="O83">
        <v>2735</v>
      </c>
      <c r="P83" s="2">
        <v>2439.311475409836</v>
      </c>
    </row>
    <row r="84" spans="1:16" x14ac:dyDescent="0.25">
      <c r="A84" s="2">
        <v>1985</v>
      </c>
      <c r="B84">
        <v>1974</v>
      </c>
      <c r="C84">
        <v>2627</v>
      </c>
      <c r="D84" t="s">
        <v>11</v>
      </c>
      <c r="E84" t="s">
        <v>43</v>
      </c>
      <c r="F84" t="s">
        <v>116</v>
      </c>
      <c r="G84" t="s">
        <v>262</v>
      </c>
      <c r="H84" t="s">
        <v>275</v>
      </c>
      <c r="I84" s="2">
        <v>2627</v>
      </c>
      <c r="J84" t="s">
        <v>276</v>
      </c>
      <c r="K84" s="2">
        <v>1974</v>
      </c>
      <c r="L84" s="4">
        <f t="shared" si="1"/>
        <v>653</v>
      </c>
      <c r="M84" s="1">
        <v>46105</v>
      </c>
      <c r="N84">
        <v>1971</v>
      </c>
      <c r="O84">
        <v>2739</v>
      </c>
      <c r="P84" s="2">
        <v>2444.3934426229507</v>
      </c>
    </row>
    <row r="85" spans="1:16" x14ac:dyDescent="0.25">
      <c r="A85" s="2">
        <v>1986</v>
      </c>
      <c r="B85">
        <v>2140</v>
      </c>
      <c r="C85">
        <v>2814</v>
      </c>
      <c r="D85" t="s">
        <v>22</v>
      </c>
      <c r="E85" t="s">
        <v>43</v>
      </c>
      <c r="F85" t="s">
        <v>120</v>
      </c>
      <c r="G85" t="s">
        <v>277</v>
      </c>
      <c r="H85" t="s">
        <v>278</v>
      </c>
      <c r="I85" s="2">
        <v>2814</v>
      </c>
      <c r="J85" t="s">
        <v>279</v>
      </c>
      <c r="K85" s="2">
        <v>2140</v>
      </c>
      <c r="L85" s="4">
        <f t="shared" si="1"/>
        <v>674</v>
      </c>
      <c r="M85" s="1">
        <v>46106</v>
      </c>
      <c r="N85">
        <v>1973</v>
      </c>
      <c r="O85">
        <v>2743</v>
      </c>
      <c r="P85" s="2">
        <v>2449.4754098360654</v>
      </c>
    </row>
    <row r="86" spans="1:16" x14ac:dyDescent="0.25">
      <c r="A86" s="2">
        <v>1987</v>
      </c>
      <c r="B86">
        <v>1799</v>
      </c>
      <c r="C86">
        <v>2791</v>
      </c>
      <c r="D86" t="s">
        <v>11</v>
      </c>
      <c r="E86" t="s">
        <v>12</v>
      </c>
      <c r="F86" t="s">
        <v>13</v>
      </c>
      <c r="G86" t="s">
        <v>33</v>
      </c>
      <c r="H86" t="s">
        <v>280</v>
      </c>
      <c r="I86" s="2">
        <v>2791</v>
      </c>
      <c r="J86" t="s">
        <v>281</v>
      </c>
      <c r="K86" s="2">
        <v>1799</v>
      </c>
      <c r="L86" s="4">
        <f t="shared" si="1"/>
        <v>992</v>
      </c>
      <c r="M86" s="1">
        <v>46107</v>
      </c>
      <c r="N86">
        <v>1975</v>
      </c>
      <c r="O86">
        <v>2746</v>
      </c>
      <c r="P86" s="2">
        <v>2454.4590163934427</v>
      </c>
    </row>
    <row r="87" spans="1:16" x14ac:dyDescent="0.25">
      <c r="A87" s="2">
        <v>1988</v>
      </c>
      <c r="B87">
        <v>1782</v>
      </c>
      <c r="C87">
        <v>2778</v>
      </c>
      <c r="D87" t="s">
        <v>22</v>
      </c>
      <c r="E87" t="s">
        <v>12</v>
      </c>
      <c r="F87" t="s">
        <v>101</v>
      </c>
      <c r="G87" t="s">
        <v>55</v>
      </c>
      <c r="H87" t="s">
        <v>282</v>
      </c>
      <c r="I87" s="2">
        <v>2778</v>
      </c>
      <c r="J87" t="s">
        <v>283</v>
      </c>
      <c r="K87" s="2">
        <v>1782</v>
      </c>
      <c r="L87" s="4">
        <f t="shared" si="1"/>
        <v>996</v>
      </c>
      <c r="M87" s="1">
        <v>46108</v>
      </c>
      <c r="N87">
        <v>1976</v>
      </c>
      <c r="O87">
        <v>2751</v>
      </c>
      <c r="P87" s="2">
        <v>2459.5</v>
      </c>
    </row>
    <row r="88" spans="1:16" x14ac:dyDescent="0.25">
      <c r="A88" s="2">
        <v>1989</v>
      </c>
      <c r="B88">
        <v>1955</v>
      </c>
      <c r="C88">
        <v>2942</v>
      </c>
      <c r="D88" t="s">
        <v>17</v>
      </c>
      <c r="E88" t="s">
        <v>43</v>
      </c>
      <c r="F88" t="s">
        <v>284</v>
      </c>
      <c r="G88" t="s">
        <v>182</v>
      </c>
      <c r="H88" t="s">
        <v>285</v>
      </c>
      <c r="I88" s="2">
        <v>2942</v>
      </c>
      <c r="J88" t="s">
        <v>286</v>
      </c>
      <c r="K88" s="2">
        <v>2094</v>
      </c>
      <c r="L88" s="4">
        <f t="shared" si="1"/>
        <v>848</v>
      </c>
      <c r="M88" s="1">
        <v>46109</v>
      </c>
      <c r="N88">
        <v>1979</v>
      </c>
      <c r="O88">
        <v>2755</v>
      </c>
      <c r="P88" s="2">
        <v>2464.5901639344261</v>
      </c>
    </row>
    <row r="89" spans="1:16" x14ac:dyDescent="0.25">
      <c r="A89" s="2">
        <v>1990</v>
      </c>
      <c r="B89">
        <v>1632</v>
      </c>
      <c r="C89">
        <v>2823</v>
      </c>
      <c r="D89" t="s">
        <v>11</v>
      </c>
      <c r="E89" t="s">
        <v>12</v>
      </c>
      <c r="F89" t="s">
        <v>206</v>
      </c>
      <c r="G89" t="s">
        <v>59</v>
      </c>
      <c r="H89" t="s">
        <v>287</v>
      </c>
      <c r="I89" s="2">
        <v>2823</v>
      </c>
      <c r="J89" t="s">
        <v>288</v>
      </c>
      <c r="K89" s="2">
        <v>1632</v>
      </c>
      <c r="L89" s="4">
        <f t="shared" si="1"/>
        <v>1191</v>
      </c>
      <c r="M89" s="1">
        <v>46110</v>
      </c>
      <c r="N89">
        <v>1981</v>
      </c>
      <c r="O89">
        <v>2760</v>
      </c>
      <c r="P89" s="2">
        <v>2469.5491803278687</v>
      </c>
    </row>
    <row r="90" spans="1:16" x14ac:dyDescent="0.25">
      <c r="A90" s="2">
        <v>1991</v>
      </c>
      <c r="B90">
        <v>1607</v>
      </c>
      <c r="C90">
        <v>2806</v>
      </c>
      <c r="D90" t="s">
        <v>11</v>
      </c>
      <c r="E90" t="s">
        <v>43</v>
      </c>
      <c r="F90" t="s">
        <v>131</v>
      </c>
      <c r="G90" t="s">
        <v>95</v>
      </c>
      <c r="H90" t="s">
        <v>289</v>
      </c>
      <c r="I90" s="2">
        <v>2806</v>
      </c>
      <c r="J90" t="s">
        <v>290</v>
      </c>
      <c r="K90" s="2">
        <v>1607</v>
      </c>
      <c r="L90" s="4">
        <f t="shared" si="1"/>
        <v>1199</v>
      </c>
      <c r="M90" s="1">
        <v>46111</v>
      </c>
      <c r="N90">
        <v>1984</v>
      </c>
      <c r="O90">
        <v>2764</v>
      </c>
      <c r="P90" s="2">
        <v>2474.622950819672</v>
      </c>
    </row>
    <row r="91" spans="1:16" x14ac:dyDescent="0.25">
      <c r="A91" s="2">
        <v>1992</v>
      </c>
      <c r="B91">
        <v>1756</v>
      </c>
      <c r="C91">
        <v>2542</v>
      </c>
      <c r="D91" t="s">
        <v>11</v>
      </c>
      <c r="E91" t="s">
        <v>62</v>
      </c>
      <c r="F91" t="s">
        <v>225</v>
      </c>
      <c r="G91" t="s">
        <v>136</v>
      </c>
      <c r="H91" t="s">
        <v>291</v>
      </c>
      <c r="I91" s="2">
        <v>2542</v>
      </c>
      <c r="J91" t="s">
        <v>292</v>
      </c>
      <c r="K91" s="2">
        <v>1756</v>
      </c>
      <c r="L91" s="4">
        <f t="shared" si="1"/>
        <v>786</v>
      </c>
      <c r="M91" s="1">
        <v>46112</v>
      </c>
      <c r="N91">
        <v>1989</v>
      </c>
      <c r="O91">
        <v>2767</v>
      </c>
      <c r="P91" s="2">
        <v>2479.7131147540986</v>
      </c>
    </row>
    <row r="92" spans="1:16" x14ac:dyDescent="0.25">
      <c r="A92" s="2">
        <v>1993</v>
      </c>
      <c r="B92">
        <v>1947</v>
      </c>
      <c r="C92">
        <v>2876</v>
      </c>
      <c r="D92" t="s">
        <v>22</v>
      </c>
      <c r="E92" t="s">
        <v>12</v>
      </c>
      <c r="F92" t="s">
        <v>293</v>
      </c>
      <c r="G92" t="s">
        <v>33</v>
      </c>
      <c r="H92" t="s">
        <v>294</v>
      </c>
      <c r="I92" s="2">
        <v>2876</v>
      </c>
      <c r="J92" t="s">
        <v>295</v>
      </c>
      <c r="K92" s="2">
        <v>1947</v>
      </c>
      <c r="L92" s="4">
        <f t="shared" si="1"/>
        <v>929</v>
      </c>
      <c r="M92" s="1">
        <v>46113</v>
      </c>
      <c r="N92">
        <v>1995</v>
      </c>
      <c r="O92">
        <v>2771</v>
      </c>
      <c r="P92" s="2">
        <v>2485</v>
      </c>
    </row>
    <row r="93" spans="1:16" x14ac:dyDescent="0.25">
      <c r="A93" s="2">
        <v>1994</v>
      </c>
      <c r="B93">
        <v>1906</v>
      </c>
      <c r="C93">
        <v>2905</v>
      </c>
      <c r="D93" t="s">
        <v>11</v>
      </c>
      <c r="E93" t="s">
        <v>12</v>
      </c>
      <c r="F93" t="s">
        <v>296</v>
      </c>
      <c r="G93" t="s">
        <v>19</v>
      </c>
      <c r="H93" t="s">
        <v>297</v>
      </c>
      <c r="I93" s="2">
        <v>2905</v>
      </c>
      <c r="J93" t="s">
        <v>298</v>
      </c>
      <c r="K93" s="2">
        <v>1906</v>
      </c>
      <c r="L93" s="4">
        <f t="shared" si="1"/>
        <v>999</v>
      </c>
      <c r="M93" s="1">
        <v>46114</v>
      </c>
      <c r="N93">
        <v>1998</v>
      </c>
      <c r="O93">
        <v>2775</v>
      </c>
      <c r="P93" s="2">
        <v>2490.1639344262294</v>
      </c>
    </row>
    <row r="94" spans="1:16" x14ac:dyDescent="0.25">
      <c r="A94" s="2">
        <v>1995</v>
      </c>
      <c r="B94">
        <v>1506</v>
      </c>
      <c r="C94">
        <v>2716</v>
      </c>
      <c r="D94" t="s">
        <v>22</v>
      </c>
      <c r="E94" t="s">
        <v>12</v>
      </c>
      <c r="F94" t="s">
        <v>36</v>
      </c>
      <c r="G94" t="s">
        <v>55</v>
      </c>
      <c r="H94" t="s">
        <v>299</v>
      </c>
      <c r="I94" s="2">
        <v>2716</v>
      </c>
      <c r="J94" t="s">
        <v>300</v>
      </c>
      <c r="K94" s="2">
        <v>1506</v>
      </c>
      <c r="L94" s="4">
        <f t="shared" si="1"/>
        <v>1210</v>
      </c>
      <c r="M94" s="1">
        <v>46115</v>
      </c>
      <c r="N94">
        <v>1997</v>
      </c>
      <c r="O94">
        <v>2780</v>
      </c>
      <c r="P94" s="2">
        <v>2495.2704918032787</v>
      </c>
    </row>
    <row r="95" spans="1:16" x14ac:dyDescent="0.25">
      <c r="A95" s="2">
        <v>1996</v>
      </c>
      <c r="B95">
        <v>1914</v>
      </c>
      <c r="C95">
        <v>2854</v>
      </c>
      <c r="D95" t="s">
        <v>22</v>
      </c>
      <c r="E95" t="s">
        <v>12</v>
      </c>
      <c r="F95" t="s">
        <v>301</v>
      </c>
      <c r="G95" t="s">
        <v>51</v>
      </c>
      <c r="H95" t="s">
        <v>302</v>
      </c>
      <c r="I95" s="2">
        <v>2854</v>
      </c>
      <c r="J95" t="s">
        <v>303</v>
      </c>
      <c r="K95" s="2">
        <v>1914</v>
      </c>
      <c r="L95" s="4">
        <f t="shared" si="1"/>
        <v>940</v>
      </c>
      <c r="M95" s="1">
        <v>46116</v>
      </c>
      <c r="N95">
        <v>1995</v>
      </c>
      <c r="O95">
        <v>2784</v>
      </c>
      <c r="P95" s="2">
        <v>2500.3278688524592</v>
      </c>
    </row>
    <row r="96" spans="1:16" x14ac:dyDescent="0.25">
      <c r="A96" s="2">
        <v>1997</v>
      </c>
      <c r="B96">
        <v>1434</v>
      </c>
      <c r="C96">
        <v>2896</v>
      </c>
      <c r="D96" t="s">
        <v>11</v>
      </c>
      <c r="E96" t="s">
        <v>12</v>
      </c>
      <c r="F96" t="s">
        <v>112</v>
      </c>
      <c r="G96" t="s">
        <v>304</v>
      </c>
      <c r="H96" t="s">
        <v>305</v>
      </c>
      <c r="I96" s="2">
        <v>2896</v>
      </c>
      <c r="J96" t="s">
        <v>306</v>
      </c>
      <c r="K96" s="2">
        <v>1434</v>
      </c>
      <c r="L96" s="4">
        <f t="shared" si="1"/>
        <v>1462</v>
      </c>
      <c r="M96" s="1">
        <v>46117</v>
      </c>
      <c r="N96">
        <v>1993</v>
      </c>
      <c r="O96">
        <v>2789</v>
      </c>
      <c r="P96" s="2">
        <v>2505.5819672131147</v>
      </c>
    </row>
    <row r="97" spans="1:16" x14ac:dyDescent="0.25">
      <c r="A97" s="2">
        <v>1998</v>
      </c>
      <c r="B97">
        <v>1503</v>
      </c>
      <c r="C97">
        <v>2758</v>
      </c>
      <c r="D97" t="s">
        <v>22</v>
      </c>
      <c r="E97" t="s">
        <v>43</v>
      </c>
      <c r="F97" t="s">
        <v>36</v>
      </c>
      <c r="G97" t="s">
        <v>95</v>
      </c>
      <c r="H97" t="s">
        <v>307</v>
      </c>
      <c r="I97" s="2">
        <v>2758</v>
      </c>
      <c r="J97" t="s">
        <v>308</v>
      </c>
      <c r="K97" s="2">
        <v>1503</v>
      </c>
      <c r="L97" s="4">
        <f t="shared" si="1"/>
        <v>1255</v>
      </c>
      <c r="M97" s="1">
        <v>46118</v>
      </c>
      <c r="N97">
        <v>1991</v>
      </c>
      <c r="O97">
        <v>2794</v>
      </c>
      <c r="P97" s="2">
        <v>2510.6721311475408</v>
      </c>
    </row>
    <row r="98" spans="1:16" x14ac:dyDescent="0.25">
      <c r="A98" s="2">
        <v>1999</v>
      </c>
      <c r="B98">
        <v>1695</v>
      </c>
      <c r="C98">
        <v>2930</v>
      </c>
      <c r="D98" t="s">
        <v>11</v>
      </c>
      <c r="E98" t="s">
        <v>12</v>
      </c>
      <c r="F98" t="s">
        <v>88</v>
      </c>
      <c r="G98" t="s">
        <v>117</v>
      </c>
      <c r="H98" t="s">
        <v>309</v>
      </c>
      <c r="I98" s="2">
        <v>2930</v>
      </c>
      <c r="J98" t="s">
        <v>310</v>
      </c>
      <c r="K98" s="2">
        <v>1695</v>
      </c>
      <c r="L98" s="4">
        <f t="shared" si="1"/>
        <v>1235</v>
      </c>
      <c r="M98" s="1">
        <v>46119</v>
      </c>
      <c r="N98">
        <v>1986</v>
      </c>
      <c r="O98">
        <v>2799</v>
      </c>
      <c r="P98" s="2">
        <v>2515.9918032786886</v>
      </c>
    </row>
    <row r="99" spans="1:16" x14ac:dyDescent="0.25">
      <c r="A99" s="2">
        <v>2000</v>
      </c>
      <c r="B99">
        <v>1857</v>
      </c>
      <c r="C99">
        <v>2869</v>
      </c>
      <c r="D99" t="s">
        <v>17</v>
      </c>
      <c r="E99" t="s">
        <v>43</v>
      </c>
      <c r="F99" t="s">
        <v>311</v>
      </c>
      <c r="G99" t="s">
        <v>182</v>
      </c>
      <c r="H99" t="s">
        <v>312</v>
      </c>
      <c r="I99" s="2">
        <v>2869</v>
      </c>
      <c r="J99" t="s">
        <v>313</v>
      </c>
      <c r="K99" s="2">
        <v>1857</v>
      </c>
      <c r="L99" s="4">
        <f t="shared" si="1"/>
        <v>1012</v>
      </c>
      <c r="M99" s="1">
        <v>46120</v>
      </c>
      <c r="N99">
        <v>1981</v>
      </c>
      <c r="O99">
        <v>2804</v>
      </c>
      <c r="P99" s="2">
        <v>2521.2868852459014</v>
      </c>
    </row>
    <row r="100" spans="1:16" x14ac:dyDescent="0.25">
      <c r="A100" s="2">
        <v>2001</v>
      </c>
      <c r="B100">
        <v>1681</v>
      </c>
      <c r="C100">
        <v>2821</v>
      </c>
      <c r="D100" t="s">
        <v>22</v>
      </c>
      <c r="E100" t="s">
        <v>12</v>
      </c>
      <c r="F100" t="s">
        <v>188</v>
      </c>
      <c r="G100" t="s">
        <v>51</v>
      </c>
      <c r="H100" t="s">
        <v>314</v>
      </c>
      <c r="I100" s="2">
        <v>2821</v>
      </c>
      <c r="J100" t="s">
        <v>315</v>
      </c>
      <c r="K100" s="2">
        <v>1681</v>
      </c>
      <c r="L100" s="4">
        <f t="shared" si="1"/>
        <v>1140</v>
      </c>
      <c r="M100" s="1">
        <v>46121</v>
      </c>
      <c r="N100">
        <v>1977</v>
      </c>
      <c r="O100">
        <v>2810</v>
      </c>
      <c r="P100" s="2">
        <v>2526.4344262295081</v>
      </c>
    </row>
    <row r="101" spans="1:16" x14ac:dyDescent="0.25">
      <c r="A101" s="2">
        <v>2002</v>
      </c>
      <c r="B101">
        <v>1719</v>
      </c>
      <c r="C101">
        <v>2891</v>
      </c>
      <c r="D101" t="s">
        <v>22</v>
      </c>
      <c r="E101" t="s">
        <v>12</v>
      </c>
      <c r="F101" t="s">
        <v>188</v>
      </c>
      <c r="G101" t="s">
        <v>316</v>
      </c>
      <c r="H101" t="s">
        <v>317</v>
      </c>
      <c r="I101" s="2">
        <v>2891</v>
      </c>
      <c r="J101" t="s">
        <v>318</v>
      </c>
      <c r="K101" s="2">
        <v>1719</v>
      </c>
      <c r="L101" s="4">
        <f t="shared" si="1"/>
        <v>1172</v>
      </c>
      <c r="M101" s="1">
        <v>46122</v>
      </c>
      <c r="N101">
        <v>1971</v>
      </c>
      <c r="O101">
        <v>2816</v>
      </c>
      <c r="P101" s="2">
        <v>2531.4098360655739</v>
      </c>
    </row>
    <row r="102" spans="1:16" x14ac:dyDescent="0.25">
      <c r="A102" s="2">
        <v>2003</v>
      </c>
      <c r="B102">
        <v>1901</v>
      </c>
      <c r="C102">
        <v>2827</v>
      </c>
      <c r="D102" t="s">
        <v>11</v>
      </c>
      <c r="E102" t="s">
        <v>43</v>
      </c>
      <c r="F102" t="s">
        <v>225</v>
      </c>
      <c r="G102" t="s">
        <v>262</v>
      </c>
      <c r="H102" t="s">
        <v>319</v>
      </c>
      <c r="I102" s="2">
        <v>2827</v>
      </c>
      <c r="J102" t="s">
        <v>320</v>
      </c>
      <c r="K102" s="2">
        <v>1901</v>
      </c>
      <c r="L102" s="4">
        <f t="shared" si="1"/>
        <v>926</v>
      </c>
      <c r="M102" s="1">
        <v>46123</v>
      </c>
      <c r="N102">
        <v>1965</v>
      </c>
      <c r="O102">
        <v>2821</v>
      </c>
      <c r="P102" s="2">
        <v>2536.622950819672</v>
      </c>
    </row>
    <row r="103" spans="1:16" x14ac:dyDescent="0.25">
      <c r="A103" s="2">
        <v>2004</v>
      </c>
      <c r="B103">
        <v>1923</v>
      </c>
      <c r="C103">
        <v>2713</v>
      </c>
      <c r="D103" t="s">
        <v>11</v>
      </c>
      <c r="E103" t="s">
        <v>12</v>
      </c>
      <c r="F103" t="s">
        <v>159</v>
      </c>
      <c r="G103" t="s">
        <v>75</v>
      </c>
      <c r="H103" t="s">
        <v>321</v>
      </c>
      <c r="I103" s="2">
        <v>2713</v>
      </c>
      <c r="J103" t="s">
        <v>322</v>
      </c>
      <c r="K103" s="2">
        <v>1923</v>
      </c>
      <c r="L103" s="4">
        <f t="shared" si="1"/>
        <v>790</v>
      </c>
      <c r="M103" s="1">
        <v>46124</v>
      </c>
      <c r="N103">
        <v>1958</v>
      </c>
      <c r="O103">
        <v>2825</v>
      </c>
      <c r="P103" s="2">
        <v>2541.6393442622953</v>
      </c>
    </row>
    <row r="104" spans="1:16" x14ac:dyDescent="0.25">
      <c r="A104" s="2">
        <v>2005</v>
      </c>
      <c r="B104">
        <v>1475</v>
      </c>
      <c r="C104">
        <v>2810</v>
      </c>
      <c r="D104" t="s">
        <v>22</v>
      </c>
      <c r="E104" t="s">
        <v>12</v>
      </c>
      <c r="F104" t="s">
        <v>126</v>
      </c>
      <c r="G104" t="s">
        <v>323</v>
      </c>
      <c r="H104" t="s">
        <v>324</v>
      </c>
      <c r="I104" s="2">
        <v>2810</v>
      </c>
      <c r="J104" t="s">
        <v>325</v>
      </c>
      <c r="K104" s="2">
        <v>1475</v>
      </c>
      <c r="L104" s="4">
        <f t="shared" si="1"/>
        <v>1335</v>
      </c>
      <c r="M104" s="1">
        <v>46125</v>
      </c>
      <c r="N104">
        <v>1953</v>
      </c>
      <c r="O104">
        <v>2832</v>
      </c>
      <c r="P104" s="2">
        <v>2546.8032786885246</v>
      </c>
    </row>
    <row r="105" spans="1:16" x14ac:dyDescent="0.25">
      <c r="A105" s="2">
        <v>2006</v>
      </c>
      <c r="B105">
        <v>1689</v>
      </c>
      <c r="C105">
        <v>2884</v>
      </c>
      <c r="D105" t="s">
        <v>22</v>
      </c>
      <c r="E105" t="s">
        <v>12</v>
      </c>
      <c r="F105" t="s">
        <v>126</v>
      </c>
      <c r="G105" t="s">
        <v>33</v>
      </c>
      <c r="H105" t="s">
        <v>326</v>
      </c>
      <c r="I105" s="2">
        <v>2884</v>
      </c>
      <c r="J105" t="s">
        <v>327</v>
      </c>
      <c r="K105" s="2">
        <v>1689</v>
      </c>
      <c r="L105" s="4">
        <f t="shared" si="1"/>
        <v>1195</v>
      </c>
      <c r="M105" s="1">
        <v>46126</v>
      </c>
      <c r="N105">
        <v>1949</v>
      </c>
      <c r="O105">
        <v>2838</v>
      </c>
      <c r="P105" s="2">
        <v>2551.9918032786886</v>
      </c>
    </row>
    <row r="106" spans="1:16" x14ac:dyDescent="0.25">
      <c r="A106" s="2">
        <v>2007</v>
      </c>
      <c r="B106">
        <v>1774</v>
      </c>
      <c r="C106">
        <v>2818</v>
      </c>
      <c r="D106" t="s">
        <v>22</v>
      </c>
      <c r="E106" t="s">
        <v>12</v>
      </c>
      <c r="F106" t="s">
        <v>78</v>
      </c>
      <c r="G106" t="s">
        <v>194</v>
      </c>
      <c r="H106" t="s">
        <v>328</v>
      </c>
      <c r="I106" s="2">
        <v>2818</v>
      </c>
      <c r="J106" t="s">
        <v>329</v>
      </c>
      <c r="K106" s="2">
        <v>1774</v>
      </c>
      <c r="L106" s="4">
        <f t="shared" si="1"/>
        <v>1044</v>
      </c>
      <c r="M106" s="1">
        <v>46127</v>
      </c>
      <c r="N106">
        <v>1944</v>
      </c>
      <c r="O106">
        <v>2844</v>
      </c>
      <c r="P106" s="2">
        <v>2557.0819672131147</v>
      </c>
    </row>
    <row r="107" spans="1:16" x14ac:dyDescent="0.25">
      <c r="A107" s="2">
        <v>2008</v>
      </c>
      <c r="B107">
        <v>1843</v>
      </c>
      <c r="C107">
        <v>2862</v>
      </c>
      <c r="D107" t="s">
        <v>22</v>
      </c>
      <c r="E107" t="s">
        <v>12</v>
      </c>
      <c r="F107" t="s">
        <v>330</v>
      </c>
      <c r="G107" t="s">
        <v>113</v>
      </c>
      <c r="H107" t="s">
        <v>331</v>
      </c>
      <c r="I107" s="2">
        <v>2862</v>
      </c>
      <c r="J107" t="s">
        <v>332</v>
      </c>
      <c r="K107" s="2">
        <v>1843</v>
      </c>
      <c r="L107" s="4">
        <f t="shared" si="1"/>
        <v>1019</v>
      </c>
      <c r="M107" s="1">
        <v>46128</v>
      </c>
      <c r="N107">
        <v>1942</v>
      </c>
      <c r="O107">
        <v>2849</v>
      </c>
      <c r="P107" s="2">
        <v>2562.2540983606559</v>
      </c>
    </row>
    <row r="108" spans="1:16" x14ac:dyDescent="0.25">
      <c r="A108" s="2">
        <v>2009</v>
      </c>
      <c r="B108">
        <v>1586</v>
      </c>
      <c r="C108">
        <v>2977</v>
      </c>
      <c r="D108" t="s">
        <v>17</v>
      </c>
      <c r="E108" t="s">
        <v>43</v>
      </c>
      <c r="F108" t="s">
        <v>333</v>
      </c>
      <c r="G108" t="s">
        <v>262</v>
      </c>
      <c r="H108" t="s">
        <v>334</v>
      </c>
      <c r="I108" s="2">
        <v>2977</v>
      </c>
      <c r="J108" t="s">
        <v>335</v>
      </c>
      <c r="K108" s="2">
        <v>1586</v>
      </c>
      <c r="L108" s="4">
        <f t="shared" si="1"/>
        <v>1391</v>
      </c>
      <c r="M108" s="1">
        <v>46129</v>
      </c>
      <c r="N108">
        <v>1938</v>
      </c>
      <c r="O108">
        <v>2854</v>
      </c>
      <c r="P108" s="2">
        <v>2567.4426229508199</v>
      </c>
    </row>
    <row r="109" spans="1:16" x14ac:dyDescent="0.25">
      <c r="A109" s="2">
        <v>2010</v>
      </c>
      <c r="B109">
        <v>1363</v>
      </c>
      <c r="C109">
        <v>2796</v>
      </c>
      <c r="D109" t="s">
        <v>22</v>
      </c>
      <c r="E109" t="s">
        <v>12</v>
      </c>
      <c r="F109" t="s">
        <v>270</v>
      </c>
      <c r="G109" t="s">
        <v>105</v>
      </c>
      <c r="H109" t="s">
        <v>336</v>
      </c>
      <c r="I109" s="2">
        <v>2796</v>
      </c>
      <c r="J109" t="s">
        <v>337</v>
      </c>
      <c r="K109" s="2">
        <v>1363</v>
      </c>
      <c r="L109" s="4">
        <f t="shared" si="1"/>
        <v>1433</v>
      </c>
      <c r="M109" s="1">
        <v>46130</v>
      </c>
      <c r="N109">
        <v>1935</v>
      </c>
      <c r="O109">
        <v>2860</v>
      </c>
      <c r="P109" s="2">
        <v>2572.9098360655739</v>
      </c>
    </row>
    <row r="110" spans="1:16" x14ac:dyDescent="0.25">
      <c r="A110" s="2">
        <v>2011</v>
      </c>
      <c r="B110">
        <v>1676</v>
      </c>
      <c r="C110">
        <v>2862</v>
      </c>
      <c r="D110" t="s">
        <v>22</v>
      </c>
      <c r="E110" t="s">
        <v>12</v>
      </c>
      <c r="F110" t="s">
        <v>23</v>
      </c>
      <c r="G110" t="s">
        <v>207</v>
      </c>
      <c r="H110" t="s">
        <v>338</v>
      </c>
      <c r="I110" s="2">
        <v>2862</v>
      </c>
      <c r="J110" t="s">
        <v>339</v>
      </c>
      <c r="K110" s="2">
        <v>1676</v>
      </c>
      <c r="L110" s="4">
        <f t="shared" si="1"/>
        <v>1186</v>
      </c>
      <c r="M110" s="1">
        <v>46131</v>
      </c>
      <c r="N110">
        <v>1932</v>
      </c>
      <c r="O110">
        <v>2865</v>
      </c>
      <c r="P110" s="2">
        <v>2578.3606557377047</v>
      </c>
    </row>
    <row r="111" spans="1:16" x14ac:dyDescent="0.25">
      <c r="A111" s="2">
        <v>2012</v>
      </c>
      <c r="B111">
        <v>1596</v>
      </c>
      <c r="C111">
        <v>2997</v>
      </c>
      <c r="D111" t="s">
        <v>11</v>
      </c>
      <c r="E111" t="s">
        <v>62</v>
      </c>
      <c r="F111" t="s">
        <v>116</v>
      </c>
      <c r="G111" t="s">
        <v>340</v>
      </c>
      <c r="H111" t="s">
        <v>341</v>
      </c>
      <c r="I111" s="2">
        <v>2997</v>
      </c>
      <c r="J111" t="s">
        <v>342</v>
      </c>
      <c r="K111" s="2">
        <v>1596</v>
      </c>
      <c r="L111" s="4">
        <f t="shared" si="1"/>
        <v>1401</v>
      </c>
      <c r="M111" s="1">
        <v>46132</v>
      </c>
      <c r="N111">
        <v>1928</v>
      </c>
      <c r="O111">
        <v>2871</v>
      </c>
      <c r="P111" s="2">
        <v>2583.688524590164</v>
      </c>
    </row>
    <row r="112" spans="1:16" x14ac:dyDescent="0.25">
      <c r="A112" s="2">
        <v>2013</v>
      </c>
      <c r="B112">
        <v>1883</v>
      </c>
      <c r="C112">
        <v>2933</v>
      </c>
      <c r="D112" t="s">
        <v>31</v>
      </c>
      <c r="E112" t="s">
        <v>12</v>
      </c>
      <c r="F112" t="s">
        <v>44</v>
      </c>
      <c r="G112" t="s">
        <v>40</v>
      </c>
      <c r="H112" t="s">
        <v>343</v>
      </c>
      <c r="I112" s="2">
        <v>2933</v>
      </c>
      <c r="J112" t="s">
        <v>344</v>
      </c>
      <c r="K112" s="2">
        <v>1935</v>
      </c>
      <c r="L112" s="4">
        <f t="shared" si="1"/>
        <v>998</v>
      </c>
      <c r="M112" s="1">
        <v>46133</v>
      </c>
      <c r="N112">
        <v>1924</v>
      </c>
      <c r="O112">
        <v>2876</v>
      </c>
      <c r="P112" s="2">
        <v>2588.877049180328</v>
      </c>
    </row>
    <row r="113" spans="1:16" x14ac:dyDescent="0.25">
      <c r="A113" s="2">
        <v>2014</v>
      </c>
      <c r="B113">
        <v>1990</v>
      </c>
      <c r="C113">
        <v>2950</v>
      </c>
      <c r="D113" t="s">
        <v>22</v>
      </c>
      <c r="E113" t="s">
        <v>43</v>
      </c>
      <c r="F113" t="s">
        <v>330</v>
      </c>
      <c r="G113" t="s">
        <v>182</v>
      </c>
      <c r="H113" t="s">
        <v>345</v>
      </c>
      <c r="I113" s="2">
        <v>2950</v>
      </c>
      <c r="J113" t="s">
        <v>346</v>
      </c>
      <c r="K113" s="2">
        <v>1990</v>
      </c>
      <c r="L113" s="4">
        <f t="shared" si="1"/>
        <v>960</v>
      </c>
      <c r="M113" s="1">
        <v>46134</v>
      </c>
      <c r="N113">
        <v>1921</v>
      </c>
      <c r="O113">
        <v>2881</v>
      </c>
      <c r="P113" s="2">
        <v>2594.0573770491801</v>
      </c>
    </row>
    <row r="114" spans="1:16" x14ac:dyDescent="0.25">
      <c r="A114" s="2">
        <v>2015</v>
      </c>
      <c r="B114">
        <v>1592</v>
      </c>
      <c r="C114">
        <v>2966</v>
      </c>
      <c r="D114" t="s">
        <v>22</v>
      </c>
      <c r="E114" t="s">
        <v>12</v>
      </c>
      <c r="F114" t="s">
        <v>330</v>
      </c>
      <c r="G114" t="s">
        <v>55</v>
      </c>
      <c r="H114" t="s">
        <v>347</v>
      </c>
      <c r="I114" s="2">
        <v>2966</v>
      </c>
      <c r="J114" t="s">
        <v>348</v>
      </c>
      <c r="K114" s="2">
        <v>1592</v>
      </c>
      <c r="L114" s="4">
        <f t="shared" si="1"/>
        <v>1374</v>
      </c>
      <c r="M114" s="1">
        <v>46135</v>
      </c>
      <c r="N114">
        <v>1921</v>
      </c>
      <c r="O114">
        <v>2885</v>
      </c>
      <c r="P114" s="2">
        <v>2599.188524590164</v>
      </c>
    </row>
    <row r="115" spans="1:16" x14ac:dyDescent="0.25">
      <c r="A115" s="2">
        <v>2016</v>
      </c>
      <c r="B115">
        <v>1720</v>
      </c>
      <c r="C115">
        <v>2719</v>
      </c>
      <c r="D115" t="s">
        <v>17</v>
      </c>
      <c r="E115" t="s">
        <v>12</v>
      </c>
      <c r="F115" t="s">
        <v>139</v>
      </c>
      <c r="G115" t="s">
        <v>109</v>
      </c>
      <c r="H115" t="s">
        <v>349</v>
      </c>
      <c r="I115" s="2">
        <v>2719</v>
      </c>
      <c r="J115" t="s">
        <v>350</v>
      </c>
      <c r="K115" s="2">
        <v>1720</v>
      </c>
      <c r="L115" s="4">
        <f t="shared" si="1"/>
        <v>999</v>
      </c>
      <c r="M115" s="1">
        <v>46136</v>
      </c>
      <c r="N115">
        <v>1917</v>
      </c>
      <c r="O115">
        <v>2890</v>
      </c>
      <c r="P115" s="2">
        <v>2604.2131147540986</v>
      </c>
    </row>
    <row r="116" spans="1:16" x14ac:dyDescent="0.25">
      <c r="A116" s="2">
        <v>2017</v>
      </c>
      <c r="B116">
        <v>1734</v>
      </c>
      <c r="C116">
        <v>2900</v>
      </c>
      <c r="D116" t="s">
        <v>22</v>
      </c>
      <c r="E116" t="s">
        <v>12</v>
      </c>
      <c r="F116" t="s">
        <v>351</v>
      </c>
      <c r="G116" t="s">
        <v>352</v>
      </c>
      <c r="H116" t="s">
        <v>353</v>
      </c>
      <c r="I116" s="2">
        <v>2900</v>
      </c>
      <c r="J116" t="s">
        <v>354</v>
      </c>
      <c r="K116" s="2">
        <v>1734</v>
      </c>
      <c r="L116" s="4">
        <f t="shared" si="1"/>
        <v>1166</v>
      </c>
      <c r="M116" s="1">
        <v>46137</v>
      </c>
      <c r="N116">
        <v>1914</v>
      </c>
      <c r="O116">
        <v>2896</v>
      </c>
      <c r="P116" s="2">
        <v>2609.3606557377047</v>
      </c>
    </row>
    <row r="117" spans="1:16" x14ac:dyDescent="0.25">
      <c r="A117" s="2">
        <v>2018</v>
      </c>
      <c r="B117">
        <v>1705</v>
      </c>
      <c r="C117">
        <v>2838</v>
      </c>
      <c r="D117" t="s">
        <v>11</v>
      </c>
      <c r="E117" t="s">
        <v>12</v>
      </c>
      <c r="F117" t="s">
        <v>131</v>
      </c>
      <c r="G117" t="s">
        <v>117</v>
      </c>
      <c r="H117" t="s">
        <v>355</v>
      </c>
      <c r="I117" s="2">
        <v>2838</v>
      </c>
      <c r="J117" t="s">
        <v>356</v>
      </c>
      <c r="K117" s="2">
        <v>1705</v>
      </c>
      <c r="L117" s="4">
        <f t="shared" si="1"/>
        <v>1133</v>
      </c>
      <c r="M117" s="1">
        <v>46138</v>
      </c>
      <c r="N117">
        <v>1912</v>
      </c>
      <c r="O117">
        <v>2902</v>
      </c>
      <c r="P117" s="2">
        <v>2614.5573770491801</v>
      </c>
    </row>
    <row r="118" spans="1:16" x14ac:dyDescent="0.25">
      <c r="A118" s="2">
        <v>2019</v>
      </c>
      <c r="B118">
        <v>1806</v>
      </c>
      <c r="C118">
        <v>2942</v>
      </c>
      <c r="D118" t="s">
        <v>22</v>
      </c>
      <c r="E118" t="s">
        <v>12</v>
      </c>
      <c r="F118" t="s">
        <v>126</v>
      </c>
      <c r="G118" t="s">
        <v>24</v>
      </c>
      <c r="H118" t="s">
        <v>357</v>
      </c>
      <c r="I118" s="2">
        <v>2942</v>
      </c>
      <c r="J118" t="s">
        <v>358</v>
      </c>
      <c r="K118" s="2">
        <v>1806</v>
      </c>
      <c r="L118" s="4">
        <f t="shared" si="1"/>
        <v>1136</v>
      </c>
      <c r="M118" s="1">
        <v>46139</v>
      </c>
      <c r="N118">
        <v>1912</v>
      </c>
      <c r="O118">
        <v>2907</v>
      </c>
      <c r="P118" s="2">
        <v>2619.7213114754099</v>
      </c>
    </row>
    <row r="119" spans="1:16" x14ac:dyDescent="0.25">
      <c r="A119" s="2">
        <v>2020</v>
      </c>
      <c r="B119">
        <v>1660</v>
      </c>
      <c r="C119">
        <v>2852</v>
      </c>
      <c r="D119" t="s">
        <v>11</v>
      </c>
      <c r="E119" t="s">
        <v>12</v>
      </c>
      <c r="F119" t="s">
        <v>13</v>
      </c>
      <c r="G119" t="s">
        <v>163</v>
      </c>
      <c r="H119" t="s">
        <v>359</v>
      </c>
      <c r="I119" s="2">
        <v>2852</v>
      </c>
      <c r="J119" t="s">
        <v>360</v>
      </c>
      <c r="K119" s="2">
        <v>1660</v>
      </c>
      <c r="L119" s="4">
        <f t="shared" si="1"/>
        <v>1192</v>
      </c>
      <c r="M119" s="1">
        <v>46140</v>
      </c>
      <c r="N119">
        <v>1912</v>
      </c>
      <c r="O119">
        <v>2912</v>
      </c>
      <c r="P119" s="2">
        <v>2624.7213114754099</v>
      </c>
    </row>
    <row r="120" spans="1:16" x14ac:dyDescent="0.25">
      <c r="A120" s="2">
        <v>2021</v>
      </c>
      <c r="B120">
        <v>1944</v>
      </c>
      <c r="C120">
        <v>3002</v>
      </c>
      <c r="D120" t="s">
        <v>11</v>
      </c>
      <c r="E120" t="s">
        <v>12</v>
      </c>
      <c r="F120" t="s">
        <v>112</v>
      </c>
      <c r="G120" t="s">
        <v>172</v>
      </c>
      <c r="H120" t="s">
        <v>361</v>
      </c>
      <c r="I120" s="2">
        <v>3002</v>
      </c>
      <c r="J120" t="s">
        <v>362</v>
      </c>
      <c r="K120" s="2">
        <v>1944</v>
      </c>
      <c r="L120" s="4">
        <f t="shared" si="1"/>
        <v>1058</v>
      </c>
      <c r="M120" s="1">
        <v>46141</v>
      </c>
      <c r="N120">
        <v>1912</v>
      </c>
      <c r="O120">
        <v>2916</v>
      </c>
      <c r="P120" s="2">
        <v>2629.622950819672</v>
      </c>
    </row>
    <row r="121" spans="1:16" x14ac:dyDescent="0.25">
      <c r="A121" s="2">
        <v>2022</v>
      </c>
      <c r="B121">
        <v>1619</v>
      </c>
      <c r="C121">
        <v>2975</v>
      </c>
      <c r="D121" t="s">
        <v>22</v>
      </c>
      <c r="E121" t="s">
        <v>12</v>
      </c>
      <c r="F121" t="s">
        <v>330</v>
      </c>
      <c r="G121" t="s">
        <v>24</v>
      </c>
      <c r="H121" t="s">
        <v>363</v>
      </c>
      <c r="I121" s="2">
        <v>2975</v>
      </c>
      <c r="J121" t="s">
        <v>364</v>
      </c>
      <c r="K121" s="2">
        <v>1619</v>
      </c>
      <c r="L121" s="4">
        <f t="shared" si="1"/>
        <v>1356</v>
      </c>
      <c r="M121" s="1">
        <v>46142</v>
      </c>
      <c r="N121">
        <v>1910</v>
      </c>
      <c r="O121">
        <v>2920</v>
      </c>
      <c r="P121" s="2">
        <v>2634.5245901639346</v>
      </c>
    </row>
    <row r="122" spans="1:16" x14ac:dyDescent="0.25">
      <c r="A122" s="2">
        <v>2023</v>
      </c>
      <c r="B122">
        <v>1270</v>
      </c>
      <c r="C122">
        <v>2830</v>
      </c>
      <c r="D122" t="s">
        <v>22</v>
      </c>
      <c r="E122" t="s">
        <v>12</v>
      </c>
      <c r="F122" t="s">
        <v>293</v>
      </c>
      <c r="G122" t="s">
        <v>40</v>
      </c>
      <c r="H122" t="s">
        <v>365</v>
      </c>
      <c r="I122" s="2">
        <v>2830</v>
      </c>
      <c r="J122" t="s">
        <v>366</v>
      </c>
      <c r="K122" s="2">
        <v>1270</v>
      </c>
      <c r="L122" s="4">
        <f t="shared" si="1"/>
        <v>1560</v>
      </c>
      <c r="M122" s="1">
        <v>46143</v>
      </c>
      <c r="N122">
        <v>1912</v>
      </c>
      <c r="O122">
        <v>2925</v>
      </c>
      <c r="P122" s="2">
        <v>2639.688524590164</v>
      </c>
    </row>
    <row r="123" spans="1:16" x14ac:dyDescent="0.25">
      <c r="A123" s="2">
        <v>2024</v>
      </c>
      <c r="B123">
        <v>1213</v>
      </c>
      <c r="C123">
        <v>2685</v>
      </c>
      <c r="D123" t="s">
        <v>11</v>
      </c>
      <c r="E123" t="s">
        <v>12</v>
      </c>
      <c r="F123" t="s">
        <v>267</v>
      </c>
      <c r="G123" t="s">
        <v>172</v>
      </c>
      <c r="H123" t="s">
        <v>367</v>
      </c>
      <c r="I123" s="2">
        <v>2685</v>
      </c>
      <c r="J123" t="s">
        <v>368</v>
      </c>
      <c r="K123" s="2">
        <v>1213</v>
      </c>
      <c r="L123" s="4">
        <f t="shared" si="1"/>
        <v>1472</v>
      </c>
      <c r="M123" s="1">
        <v>46144</v>
      </c>
      <c r="N123">
        <v>1914</v>
      </c>
      <c r="O123">
        <v>2930</v>
      </c>
      <c r="P123" s="2">
        <v>2644.6721311475408</v>
      </c>
    </row>
    <row r="124" spans="1:16" x14ac:dyDescent="0.25">
      <c r="A124" s="2">
        <v>2025</v>
      </c>
      <c r="B124">
        <v>1838</v>
      </c>
      <c r="C124">
        <v>2899</v>
      </c>
      <c r="D124" t="s">
        <v>31</v>
      </c>
      <c r="E124" t="s">
        <v>43</v>
      </c>
      <c r="F124" t="s">
        <v>44</v>
      </c>
      <c r="G124" t="s">
        <v>262</v>
      </c>
      <c r="H124" t="s">
        <v>381</v>
      </c>
      <c r="I124">
        <v>2901</v>
      </c>
      <c r="J124" t="s">
        <v>382</v>
      </c>
      <c r="K124">
        <v>1920</v>
      </c>
      <c r="L124" s="4">
        <f t="shared" si="1"/>
        <v>981</v>
      </c>
      <c r="M124" s="1">
        <v>46145</v>
      </c>
      <c r="N124">
        <v>1915</v>
      </c>
      <c r="O124">
        <v>2933</v>
      </c>
      <c r="P124" s="2">
        <v>2649.5737704918033</v>
      </c>
    </row>
    <row r="125" spans="1:16" x14ac:dyDescent="0.25">
      <c r="M125" s="1">
        <v>46146</v>
      </c>
      <c r="N125">
        <v>1915</v>
      </c>
      <c r="O125">
        <v>2938</v>
      </c>
      <c r="P125" s="2">
        <v>2654.4836065573772</v>
      </c>
    </row>
    <row r="126" spans="1:16" x14ac:dyDescent="0.25">
      <c r="M126" s="1">
        <v>46147</v>
      </c>
      <c r="N126">
        <v>1917</v>
      </c>
      <c r="O126">
        <v>2942</v>
      </c>
      <c r="P126" s="2">
        <v>2659.2950819672133</v>
      </c>
    </row>
    <row r="127" spans="1:16" x14ac:dyDescent="0.25">
      <c r="M127" s="1">
        <v>46148</v>
      </c>
      <c r="N127">
        <v>1918</v>
      </c>
      <c r="O127">
        <v>2946</v>
      </c>
      <c r="P127" s="2">
        <v>2664.2786885245901</v>
      </c>
    </row>
    <row r="128" spans="1:16" x14ac:dyDescent="0.25">
      <c r="M128" s="1">
        <v>46149</v>
      </c>
      <c r="N128">
        <v>1919</v>
      </c>
      <c r="O128">
        <v>2949</v>
      </c>
      <c r="P128" s="2">
        <v>2668.9180327868853</v>
      </c>
    </row>
    <row r="129" spans="13:16" x14ac:dyDescent="0.25">
      <c r="M129" s="1">
        <v>46150</v>
      </c>
      <c r="N129">
        <v>1923</v>
      </c>
      <c r="O129">
        <v>2952</v>
      </c>
      <c r="P129" s="2">
        <v>2673.6803278688526</v>
      </c>
    </row>
    <row r="130" spans="13:16" x14ac:dyDescent="0.25">
      <c r="M130" s="1">
        <v>46151</v>
      </c>
      <c r="N130">
        <v>1927</v>
      </c>
      <c r="O130">
        <v>2957</v>
      </c>
      <c r="P130" s="2">
        <v>2678.6147540983607</v>
      </c>
    </row>
    <row r="131" spans="13:16" x14ac:dyDescent="0.25">
      <c r="M131" s="1">
        <v>46152</v>
      </c>
      <c r="N131">
        <v>1931</v>
      </c>
      <c r="O131">
        <v>2961</v>
      </c>
      <c r="P131" s="2">
        <v>2683.1721311475408</v>
      </c>
    </row>
    <row r="132" spans="13:16" x14ac:dyDescent="0.25">
      <c r="M132" s="1">
        <v>46153</v>
      </c>
      <c r="N132">
        <v>1936</v>
      </c>
      <c r="O132">
        <v>2964</v>
      </c>
      <c r="P132" s="2">
        <v>2687.688524590164</v>
      </c>
    </row>
    <row r="133" spans="13:16" x14ac:dyDescent="0.25">
      <c r="M133" s="1">
        <v>46154</v>
      </c>
      <c r="N133">
        <v>1942</v>
      </c>
      <c r="O133">
        <v>2966</v>
      </c>
      <c r="P133" s="2">
        <v>2692.2295081967213</v>
      </c>
    </row>
    <row r="134" spans="13:16" x14ac:dyDescent="0.25">
      <c r="M134" s="1">
        <v>46155</v>
      </c>
      <c r="N134">
        <v>1948</v>
      </c>
      <c r="O134">
        <v>2969</v>
      </c>
      <c r="P134" s="2">
        <v>2696.6311475409834</v>
      </c>
    </row>
    <row r="135" spans="13:16" x14ac:dyDescent="0.25">
      <c r="M135" s="1">
        <v>46156</v>
      </c>
      <c r="N135">
        <v>1954</v>
      </c>
      <c r="O135">
        <v>2972</v>
      </c>
      <c r="P135" s="2">
        <v>2700.8360655737706</v>
      </c>
    </row>
    <row r="136" spans="13:16" x14ac:dyDescent="0.25">
      <c r="M136" s="1">
        <v>46157</v>
      </c>
      <c r="N136">
        <v>1959</v>
      </c>
      <c r="O136">
        <v>2975</v>
      </c>
      <c r="P136" s="2">
        <v>2704.967213114754</v>
      </c>
    </row>
    <row r="137" spans="13:16" x14ac:dyDescent="0.25">
      <c r="M137" s="1">
        <v>46158</v>
      </c>
      <c r="N137">
        <v>1968</v>
      </c>
      <c r="O137">
        <v>2978</v>
      </c>
      <c r="P137" s="2">
        <v>2708.844262295082</v>
      </c>
    </row>
    <row r="138" spans="13:16" x14ac:dyDescent="0.25">
      <c r="M138" s="1">
        <v>46159</v>
      </c>
      <c r="N138">
        <v>1977</v>
      </c>
      <c r="O138">
        <v>2980</v>
      </c>
      <c r="P138" s="2">
        <v>2712.5573770491801</v>
      </c>
    </row>
    <row r="139" spans="13:16" x14ac:dyDescent="0.25">
      <c r="M139" s="1">
        <v>46160</v>
      </c>
      <c r="N139">
        <v>1987</v>
      </c>
      <c r="O139">
        <v>2981</v>
      </c>
      <c r="P139" s="2">
        <v>2716.3524590163934</v>
      </c>
    </row>
    <row r="140" spans="13:16" x14ac:dyDescent="0.25">
      <c r="M140" s="1">
        <v>46161</v>
      </c>
      <c r="N140">
        <v>1996</v>
      </c>
      <c r="O140">
        <v>2983</v>
      </c>
      <c r="P140" s="2">
        <v>2720.0081967213114</v>
      </c>
    </row>
    <row r="141" spans="13:16" x14ac:dyDescent="0.25">
      <c r="M141" s="1">
        <v>46162</v>
      </c>
      <c r="N141">
        <v>2003</v>
      </c>
      <c r="O141">
        <v>2985</v>
      </c>
      <c r="P141" s="2">
        <v>2723.6065573770493</v>
      </c>
    </row>
    <row r="142" spans="13:16" x14ac:dyDescent="0.25">
      <c r="M142" s="1">
        <v>46163</v>
      </c>
      <c r="N142">
        <v>2010</v>
      </c>
      <c r="O142">
        <v>2987</v>
      </c>
      <c r="P142" s="2">
        <v>2727.1065573770493</v>
      </c>
    </row>
    <row r="143" spans="13:16" x14ac:dyDescent="0.25">
      <c r="M143" s="1">
        <v>46164</v>
      </c>
      <c r="N143">
        <v>2017</v>
      </c>
      <c r="O143">
        <v>2990</v>
      </c>
      <c r="P143" s="2">
        <v>2730.4344262295081</v>
      </c>
    </row>
    <row r="144" spans="13:16" x14ac:dyDescent="0.25">
      <c r="M144" s="1">
        <v>46165</v>
      </c>
      <c r="N144">
        <v>2024</v>
      </c>
      <c r="O144">
        <v>2991</v>
      </c>
      <c r="P144" s="2">
        <v>2733.844262295082</v>
      </c>
    </row>
    <row r="145" spans="13:16" x14ac:dyDescent="0.25">
      <c r="M145" s="1">
        <v>46166</v>
      </c>
      <c r="N145">
        <v>2030</v>
      </c>
      <c r="O145">
        <v>2992</v>
      </c>
      <c r="P145" s="2">
        <v>2737.1311475409834</v>
      </c>
    </row>
    <row r="146" spans="13:16" x14ac:dyDescent="0.25">
      <c r="M146" s="1">
        <v>46167</v>
      </c>
      <c r="N146">
        <v>2037</v>
      </c>
      <c r="O146">
        <v>2993</v>
      </c>
      <c r="P146" s="2">
        <v>2740.467213114754</v>
      </c>
    </row>
    <row r="147" spans="13:16" x14ac:dyDescent="0.25">
      <c r="M147" s="1">
        <v>46168</v>
      </c>
      <c r="N147">
        <v>2044</v>
      </c>
      <c r="O147">
        <v>2994</v>
      </c>
      <c r="P147" s="2">
        <v>2743.4098360655739</v>
      </c>
    </row>
    <row r="148" spans="13:16" x14ac:dyDescent="0.25">
      <c r="M148" s="1">
        <v>46169</v>
      </c>
      <c r="N148">
        <v>2053</v>
      </c>
      <c r="O148">
        <v>2995</v>
      </c>
      <c r="P148" s="2">
        <v>2746.3196721311474</v>
      </c>
    </row>
    <row r="149" spans="13:16" x14ac:dyDescent="0.25">
      <c r="M149" s="1">
        <v>46170</v>
      </c>
      <c r="N149">
        <v>2060</v>
      </c>
      <c r="O149">
        <v>2996</v>
      </c>
      <c r="P149" s="2">
        <v>2749.2704918032787</v>
      </c>
    </row>
    <row r="150" spans="13:16" x14ac:dyDescent="0.25">
      <c r="M150" s="1">
        <v>46171</v>
      </c>
      <c r="N150">
        <v>2067</v>
      </c>
      <c r="O150">
        <v>2997</v>
      </c>
      <c r="P150" s="2">
        <v>2752.0163934426228</v>
      </c>
    </row>
    <row r="151" spans="13:16" x14ac:dyDescent="0.25">
      <c r="M151" s="1">
        <v>46172</v>
      </c>
      <c r="N151">
        <v>2074</v>
      </c>
      <c r="O151">
        <v>2997</v>
      </c>
      <c r="P151" s="2">
        <v>2754.7213114754099</v>
      </c>
    </row>
    <row r="152" spans="13:16" x14ac:dyDescent="0.25">
      <c r="M152" s="1">
        <v>46173</v>
      </c>
      <c r="N152">
        <v>2082</v>
      </c>
      <c r="O152">
        <v>2997</v>
      </c>
      <c r="P152" s="2">
        <v>2757.344262295082</v>
      </c>
    </row>
    <row r="153" spans="13:16" x14ac:dyDescent="0.25">
      <c r="M153" s="1">
        <v>46174</v>
      </c>
      <c r="N153">
        <v>2089</v>
      </c>
      <c r="O153">
        <v>2998</v>
      </c>
      <c r="P153" s="2">
        <v>2759.877049180328</v>
      </c>
    </row>
    <row r="154" spans="13:16" x14ac:dyDescent="0.25">
      <c r="M154" s="1">
        <v>46175</v>
      </c>
      <c r="N154">
        <v>2093</v>
      </c>
      <c r="O154">
        <v>2998</v>
      </c>
      <c r="P154" s="2">
        <v>2762.122950819672</v>
      </c>
    </row>
    <row r="155" spans="13:16" x14ac:dyDescent="0.25">
      <c r="M155" s="1">
        <v>46176</v>
      </c>
      <c r="N155">
        <v>2100</v>
      </c>
      <c r="O155">
        <v>2998</v>
      </c>
      <c r="P155" s="2">
        <v>2764.3934426229507</v>
      </c>
    </row>
    <row r="156" spans="13:16" x14ac:dyDescent="0.25">
      <c r="M156" s="1">
        <v>46177</v>
      </c>
      <c r="N156">
        <v>2106</v>
      </c>
      <c r="O156">
        <v>2999</v>
      </c>
      <c r="P156" s="2">
        <v>2766.622950819672</v>
      </c>
    </row>
    <row r="157" spans="13:16" x14ac:dyDescent="0.25">
      <c r="M157" s="1">
        <v>46178</v>
      </c>
      <c r="N157">
        <v>2108</v>
      </c>
      <c r="O157">
        <v>3000</v>
      </c>
      <c r="P157" s="2">
        <v>2768.6475409836066</v>
      </c>
    </row>
    <row r="158" spans="13:16" x14ac:dyDescent="0.25">
      <c r="M158" s="1">
        <v>46179</v>
      </c>
      <c r="N158">
        <v>2114</v>
      </c>
      <c r="O158">
        <v>3000</v>
      </c>
      <c r="P158" s="2">
        <v>2770.688524590164</v>
      </c>
    </row>
    <row r="159" spans="13:16" x14ac:dyDescent="0.25">
      <c r="M159" s="1">
        <v>46180</v>
      </c>
      <c r="N159">
        <v>2121</v>
      </c>
      <c r="O159">
        <v>3000</v>
      </c>
      <c r="P159" s="2">
        <v>2772.4426229508199</v>
      </c>
    </row>
    <row r="160" spans="13:16" x14ac:dyDescent="0.25">
      <c r="M160" s="1">
        <v>46181</v>
      </c>
      <c r="N160">
        <v>2125</v>
      </c>
      <c r="O160">
        <v>3000</v>
      </c>
      <c r="P160" s="2">
        <v>2773.9098360655739</v>
      </c>
    </row>
    <row r="161" spans="13:16" x14ac:dyDescent="0.25">
      <c r="M161" s="1">
        <v>46182</v>
      </c>
      <c r="N161">
        <v>2130</v>
      </c>
      <c r="O161">
        <v>3000</v>
      </c>
      <c r="P161" s="2">
        <v>2775.5163934426228</v>
      </c>
    </row>
    <row r="162" spans="13:16" x14ac:dyDescent="0.25">
      <c r="M162" s="1">
        <v>46183</v>
      </c>
      <c r="N162">
        <v>2133</v>
      </c>
      <c r="O162">
        <v>3000</v>
      </c>
      <c r="P162" s="2">
        <v>2776.8032786885246</v>
      </c>
    </row>
    <row r="163" spans="13:16" x14ac:dyDescent="0.25">
      <c r="M163" s="1">
        <v>46184</v>
      </c>
      <c r="N163">
        <v>2135</v>
      </c>
      <c r="O163">
        <v>3000</v>
      </c>
      <c r="P163" s="2">
        <v>2778.1721311475408</v>
      </c>
    </row>
    <row r="164" spans="13:16" x14ac:dyDescent="0.25">
      <c r="M164" s="1">
        <v>46185</v>
      </c>
      <c r="N164">
        <v>2140</v>
      </c>
      <c r="O164">
        <v>3000</v>
      </c>
      <c r="P164" s="2">
        <v>2779.467213114754</v>
      </c>
    </row>
    <row r="165" spans="13:16" x14ac:dyDescent="0.25">
      <c r="M165" s="1">
        <v>46186</v>
      </c>
      <c r="N165">
        <v>2143</v>
      </c>
      <c r="O165">
        <v>3000</v>
      </c>
      <c r="P165" s="2">
        <v>2780.5</v>
      </c>
    </row>
    <row r="166" spans="13:16" x14ac:dyDescent="0.25">
      <c r="M166" s="1">
        <v>46187</v>
      </c>
      <c r="N166">
        <v>2145</v>
      </c>
      <c r="O166">
        <v>2999</v>
      </c>
      <c r="P166" s="2">
        <v>2781.5819672131147</v>
      </c>
    </row>
    <row r="167" spans="13:16" x14ac:dyDescent="0.25">
      <c r="M167" s="1">
        <v>46188</v>
      </c>
      <c r="N167">
        <v>2147</v>
      </c>
      <c r="O167">
        <v>2999</v>
      </c>
      <c r="P167" s="2">
        <v>2782.3360655737706</v>
      </c>
    </row>
    <row r="168" spans="13:16" x14ac:dyDescent="0.25">
      <c r="M168" s="1">
        <v>46189</v>
      </c>
      <c r="N168">
        <v>2152</v>
      </c>
      <c r="O168">
        <v>3002</v>
      </c>
      <c r="P168" s="2">
        <v>2783.0163934426228</v>
      </c>
    </row>
    <row r="169" spans="13:16" x14ac:dyDescent="0.25">
      <c r="M169" s="1">
        <v>46190</v>
      </c>
      <c r="N169">
        <v>2156</v>
      </c>
      <c r="O169">
        <v>3002</v>
      </c>
      <c r="P169" s="2">
        <v>2783.5819672131147</v>
      </c>
    </row>
    <row r="170" spans="13:16" x14ac:dyDescent="0.25">
      <c r="M170" s="1">
        <v>46191</v>
      </c>
      <c r="N170">
        <v>2159</v>
      </c>
      <c r="O170">
        <v>3002</v>
      </c>
      <c r="P170" s="2">
        <v>2784.0983606557379</v>
      </c>
    </row>
    <row r="171" spans="13:16" x14ac:dyDescent="0.25">
      <c r="M171" s="1">
        <v>46192</v>
      </c>
      <c r="N171">
        <v>2161</v>
      </c>
      <c r="O171">
        <v>3002</v>
      </c>
      <c r="P171" s="2">
        <v>2784.377049180328</v>
      </c>
    </row>
    <row r="172" spans="13:16" x14ac:dyDescent="0.25">
      <c r="M172" s="1">
        <v>46193</v>
      </c>
      <c r="N172">
        <v>2162</v>
      </c>
      <c r="O172">
        <v>3002</v>
      </c>
      <c r="P172" s="2">
        <v>2784.4836065573772</v>
      </c>
    </row>
    <row r="173" spans="13:16" x14ac:dyDescent="0.25">
      <c r="M173" s="1">
        <v>46194</v>
      </c>
      <c r="N173">
        <v>2163</v>
      </c>
      <c r="O173">
        <v>3001</v>
      </c>
      <c r="P173" s="2">
        <v>2784.5655737704919</v>
      </c>
    </row>
    <row r="174" spans="13:16" x14ac:dyDescent="0.25">
      <c r="M174" s="1">
        <v>46195</v>
      </c>
      <c r="N174">
        <v>2164</v>
      </c>
      <c r="O174">
        <v>3000</v>
      </c>
      <c r="P174" s="2">
        <v>2784.4180327868853</v>
      </c>
    </row>
    <row r="175" spans="13:16" x14ac:dyDescent="0.25">
      <c r="M175" s="1">
        <v>46196</v>
      </c>
      <c r="N175">
        <v>2164</v>
      </c>
      <c r="O175">
        <v>3001</v>
      </c>
      <c r="P175" s="2">
        <v>2784.1967213114754</v>
      </c>
    </row>
    <row r="176" spans="13:16" x14ac:dyDescent="0.25">
      <c r="M176" s="1">
        <v>46197</v>
      </c>
      <c r="N176">
        <v>2165</v>
      </c>
      <c r="O176">
        <v>3001</v>
      </c>
      <c r="P176" s="2">
        <v>2783.8606557377047</v>
      </c>
    </row>
    <row r="177" spans="13:16" x14ac:dyDescent="0.25">
      <c r="M177" s="1">
        <v>46198</v>
      </c>
      <c r="N177">
        <v>2166</v>
      </c>
      <c r="O177">
        <v>3000</v>
      </c>
      <c r="P177" s="2">
        <v>2783.3852459016393</v>
      </c>
    </row>
    <row r="178" spans="13:16" x14ac:dyDescent="0.25">
      <c r="M178" s="1">
        <v>46199</v>
      </c>
      <c r="N178">
        <v>2167</v>
      </c>
      <c r="O178">
        <v>2999</v>
      </c>
      <c r="P178" s="2">
        <v>2782.9180327868853</v>
      </c>
    </row>
    <row r="179" spans="13:16" x14ac:dyDescent="0.25">
      <c r="M179" s="1">
        <v>46200</v>
      </c>
      <c r="N179">
        <v>2168</v>
      </c>
      <c r="O179">
        <v>2998</v>
      </c>
      <c r="P179" s="2">
        <v>2782.2540983606559</v>
      </c>
    </row>
    <row r="180" spans="13:16" x14ac:dyDescent="0.25">
      <c r="M180" s="1">
        <v>46201</v>
      </c>
      <c r="N180">
        <v>2170</v>
      </c>
      <c r="O180">
        <v>2998</v>
      </c>
      <c r="P180" s="2">
        <v>2781.5901639344261</v>
      </c>
    </row>
    <row r="181" spans="13:16" x14ac:dyDescent="0.25">
      <c r="M181" s="1">
        <v>46202</v>
      </c>
      <c r="N181">
        <v>2171</v>
      </c>
      <c r="O181">
        <v>2997</v>
      </c>
      <c r="P181" s="2">
        <v>2780.7213114754099</v>
      </c>
    </row>
    <row r="182" spans="13:16" x14ac:dyDescent="0.25">
      <c r="M182" s="1">
        <v>46203</v>
      </c>
      <c r="N182">
        <v>2172</v>
      </c>
      <c r="O182">
        <v>2996</v>
      </c>
      <c r="P182" s="2">
        <v>2779.7131147540986</v>
      </c>
    </row>
    <row r="183" spans="13:16" x14ac:dyDescent="0.25">
      <c r="M183" s="1">
        <v>46204</v>
      </c>
      <c r="N183">
        <v>2173</v>
      </c>
      <c r="O183">
        <v>2994</v>
      </c>
      <c r="P183" s="2">
        <v>2778.622950819672</v>
      </c>
    </row>
    <row r="184" spans="13:16" x14ac:dyDescent="0.25">
      <c r="M184" s="1">
        <v>46205</v>
      </c>
      <c r="N184">
        <v>2174</v>
      </c>
      <c r="O184">
        <v>2991</v>
      </c>
      <c r="P184" s="2">
        <v>2777.4508196721313</v>
      </c>
    </row>
    <row r="185" spans="13:16" x14ac:dyDescent="0.25">
      <c r="M185" s="1">
        <v>46206</v>
      </c>
      <c r="N185">
        <v>2175</v>
      </c>
      <c r="O185">
        <v>2989</v>
      </c>
      <c r="P185" s="2">
        <v>2776.2622950819673</v>
      </c>
    </row>
    <row r="186" spans="13:16" x14ac:dyDescent="0.25">
      <c r="M186" s="1">
        <v>46207</v>
      </c>
      <c r="N186">
        <v>2176</v>
      </c>
      <c r="O186">
        <v>2988</v>
      </c>
      <c r="P186" s="2">
        <v>2774.8524590163934</v>
      </c>
    </row>
    <row r="187" spans="13:16" x14ac:dyDescent="0.25">
      <c r="M187" s="1">
        <v>46208</v>
      </c>
      <c r="N187">
        <v>2177</v>
      </c>
      <c r="O187">
        <v>2987</v>
      </c>
      <c r="P187" s="2">
        <v>2773.2622950819673</v>
      </c>
    </row>
    <row r="188" spans="13:16" x14ac:dyDescent="0.25">
      <c r="M188" s="1">
        <v>46209</v>
      </c>
      <c r="N188">
        <v>2177</v>
      </c>
      <c r="O188">
        <v>2985</v>
      </c>
      <c r="P188" s="2">
        <v>2771.6147540983607</v>
      </c>
    </row>
    <row r="189" spans="13:16" x14ac:dyDescent="0.25">
      <c r="M189" s="1">
        <v>46210</v>
      </c>
      <c r="N189">
        <v>2177</v>
      </c>
      <c r="O189">
        <v>2983</v>
      </c>
      <c r="P189" s="2">
        <v>2769.7704918032787</v>
      </c>
    </row>
    <row r="190" spans="13:16" x14ac:dyDescent="0.25">
      <c r="M190" s="1">
        <v>46211</v>
      </c>
      <c r="N190">
        <v>2176</v>
      </c>
      <c r="O190">
        <v>2980</v>
      </c>
      <c r="P190" s="2">
        <v>2767.7459016393441</v>
      </c>
    </row>
    <row r="191" spans="13:16" x14ac:dyDescent="0.25">
      <c r="M191" s="1">
        <v>46212</v>
      </c>
      <c r="N191">
        <v>2174</v>
      </c>
      <c r="O191">
        <v>2977</v>
      </c>
      <c r="P191" s="2">
        <v>2765.7704918032787</v>
      </c>
    </row>
    <row r="192" spans="13:16" x14ac:dyDescent="0.25">
      <c r="M192" s="1">
        <v>46213</v>
      </c>
      <c r="N192">
        <v>2173</v>
      </c>
      <c r="O192">
        <v>2975</v>
      </c>
      <c r="P192" s="2">
        <v>2763.6147540983607</v>
      </c>
    </row>
    <row r="193" spans="13:16" x14ac:dyDescent="0.25">
      <c r="M193" s="1">
        <v>46214</v>
      </c>
      <c r="N193">
        <v>2171</v>
      </c>
      <c r="O193">
        <v>2972</v>
      </c>
      <c r="P193" s="2">
        <v>2761.3606557377047</v>
      </c>
    </row>
    <row r="194" spans="13:16" x14ac:dyDescent="0.25">
      <c r="M194" s="1">
        <v>46215</v>
      </c>
      <c r="N194">
        <v>2168</v>
      </c>
      <c r="O194">
        <v>2969</v>
      </c>
      <c r="P194" s="2">
        <v>2759.0491803278687</v>
      </c>
    </row>
    <row r="195" spans="13:16" x14ac:dyDescent="0.25">
      <c r="M195" s="1">
        <v>46216</v>
      </c>
      <c r="N195">
        <v>2164</v>
      </c>
      <c r="O195">
        <v>2967</v>
      </c>
      <c r="P195" s="2">
        <v>2756.7213114754099</v>
      </c>
    </row>
    <row r="196" spans="13:16" x14ac:dyDescent="0.25">
      <c r="M196" s="1">
        <v>46217</v>
      </c>
      <c r="N196">
        <v>2160</v>
      </c>
      <c r="O196">
        <v>2965</v>
      </c>
      <c r="P196" s="2">
        <v>2754.3688524590166</v>
      </c>
    </row>
    <row r="197" spans="13:16" x14ac:dyDescent="0.25">
      <c r="M197" s="1">
        <v>46218</v>
      </c>
      <c r="N197">
        <v>2156</v>
      </c>
      <c r="O197">
        <v>2962</v>
      </c>
      <c r="P197" s="2">
        <v>2751.6147540983607</v>
      </c>
    </row>
    <row r="198" spans="13:16" x14ac:dyDescent="0.25">
      <c r="M198" s="1">
        <v>46219</v>
      </c>
      <c r="N198">
        <v>2152</v>
      </c>
      <c r="O198">
        <v>2959</v>
      </c>
      <c r="P198" s="2">
        <v>2748.8360655737706</v>
      </c>
    </row>
    <row r="199" spans="13:16" x14ac:dyDescent="0.25">
      <c r="M199" s="1">
        <v>46220</v>
      </c>
      <c r="N199">
        <v>2144</v>
      </c>
      <c r="O199">
        <v>2955</v>
      </c>
      <c r="P199" s="2">
        <v>2745.877049180328</v>
      </c>
    </row>
    <row r="200" spans="13:16" x14ac:dyDescent="0.25">
      <c r="M200" s="1">
        <v>46221</v>
      </c>
      <c r="N200">
        <v>2140</v>
      </c>
      <c r="O200">
        <v>2951</v>
      </c>
      <c r="P200" s="2">
        <v>2742.8278688524592</v>
      </c>
    </row>
    <row r="201" spans="13:16" x14ac:dyDescent="0.25">
      <c r="M201" s="1">
        <v>46222</v>
      </c>
      <c r="N201">
        <v>2137</v>
      </c>
      <c r="O201">
        <v>2947</v>
      </c>
      <c r="P201" s="2">
        <v>2739.6147540983607</v>
      </c>
    </row>
    <row r="202" spans="13:16" x14ac:dyDescent="0.25">
      <c r="M202" s="1">
        <v>46223</v>
      </c>
      <c r="N202">
        <v>2131</v>
      </c>
      <c r="O202">
        <v>2944</v>
      </c>
      <c r="P202" s="2">
        <v>2736.1393442622953</v>
      </c>
    </row>
    <row r="203" spans="13:16" x14ac:dyDescent="0.25">
      <c r="M203" s="1">
        <v>46224</v>
      </c>
      <c r="N203">
        <v>2125</v>
      </c>
      <c r="O203">
        <v>2942</v>
      </c>
      <c r="P203" s="2">
        <v>2732.8278688524592</v>
      </c>
    </row>
    <row r="204" spans="13:16" x14ac:dyDescent="0.25">
      <c r="M204" s="1">
        <v>46225</v>
      </c>
      <c r="N204">
        <v>2119</v>
      </c>
      <c r="O204">
        <v>2938</v>
      </c>
      <c r="P204" s="2">
        <v>2729.1803278688526</v>
      </c>
    </row>
    <row r="205" spans="13:16" x14ac:dyDescent="0.25">
      <c r="M205" s="1">
        <v>46226</v>
      </c>
      <c r="N205">
        <v>2115</v>
      </c>
      <c r="O205">
        <v>2936</v>
      </c>
      <c r="P205" s="2">
        <v>2725.3524590163934</v>
      </c>
    </row>
    <row r="206" spans="13:16" x14ac:dyDescent="0.25">
      <c r="M206" s="1">
        <v>46227</v>
      </c>
      <c r="N206">
        <v>2109</v>
      </c>
      <c r="O206">
        <v>2934</v>
      </c>
      <c r="P206" s="2">
        <v>2721.2868852459014</v>
      </c>
    </row>
    <row r="207" spans="13:16" x14ac:dyDescent="0.25">
      <c r="M207" s="1">
        <v>46228</v>
      </c>
      <c r="N207">
        <v>2104</v>
      </c>
      <c r="O207">
        <v>2931</v>
      </c>
      <c r="P207" s="2">
        <v>2717.2540983606559</v>
      </c>
    </row>
    <row r="208" spans="13:16" x14ac:dyDescent="0.25">
      <c r="M208" s="1">
        <v>46229</v>
      </c>
      <c r="N208">
        <v>2099</v>
      </c>
      <c r="O208">
        <v>2929</v>
      </c>
      <c r="P208" s="2">
        <v>2713.032786885246</v>
      </c>
    </row>
    <row r="209" spans="13:16" x14ac:dyDescent="0.25">
      <c r="M209" s="1">
        <v>46230</v>
      </c>
      <c r="N209">
        <v>2094</v>
      </c>
      <c r="O209">
        <v>2927</v>
      </c>
      <c r="P209" s="2">
        <v>2708.6311475409834</v>
      </c>
    </row>
    <row r="210" spans="13:16" x14ac:dyDescent="0.25">
      <c r="M210" s="1">
        <v>46231</v>
      </c>
      <c r="N210">
        <v>2089</v>
      </c>
      <c r="O210">
        <v>2924</v>
      </c>
      <c r="P210" s="2">
        <v>2704.0983606557379</v>
      </c>
    </row>
    <row r="211" spans="13:16" x14ac:dyDescent="0.25">
      <c r="M211" s="1">
        <v>46232</v>
      </c>
      <c r="N211">
        <v>2083</v>
      </c>
      <c r="O211">
        <v>2920</v>
      </c>
      <c r="P211" s="2">
        <v>2699.5573770491801</v>
      </c>
    </row>
    <row r="212" spans="13:16" x14ac:dyDescent="0.25">
      <c r="M212" s="1">
        <v>46233</v>
      </c>
      <c r="N212">
        <v>2077</v>
      </c>
      <c r="O212">
        <v>2916</v>
      </c>
      <c r="P212" s="2">
        <v>2694.7622950819673</v>
      </c>
    </row>
    <row r="213" spans="13:16" x14ac:dyDescent="0.25">
      <c r="M213" s="1">
        <v>46234</v>
      </c>
      <c r="N213">
        <v>2071</v>
      </c>
      <c r="O213">
        <v>2913</v>
      </c>
      <c r="P213" s="2">
        <v>2689.5245901639346</v>
      </c>
    </row>
    <row r="214" spans="13:16" x14ac:dyDescent="0.25">
      <c r="M214" s="1">
        <v>46235</v>
      </c>
      <c r="N214">
        <v>2065</v>
      </c>
      <c r="O214">
        <v>2908</v>
      </c>
      <c r="P214" s="2">
        <v>2684.2049180327867</v>
      </c>
    </row>
    <row r="215" spans="13:16" x14ac:dyDescent="0.25">
      <c r="M215" s="1">
        <v>46236</v>
      </c>
      <c r="N215">
        <v>2058</v>
      </c>
      <c r="O215">
        <v>2904</v>
      </c>
      <c r="P215" s="2">
        <v>2678.6721311475408</v>
      </c>
    </row>
    <row r="216" spans="13:16" x14ac:dyDescent="0.25">
      <c r="M216" s="1">
        <v>46237</v>
      </c>
      <c r="N216">
        <v>2051</v>
      </c>
      <c r="O216">
        <v>2899</v>
      </c>
      <c r="P216" s="2">
        <v>2673.0409836065573</v>
      </c>
    </row>
    <row r="217" spans="13:16" x14ac:dyDescent="0.25">
      <c r="M217" s="1">
        <v>46238</v>
      </c>
      <c r="N217">
        <v>2044</v>
      </c>
      <c r="O217">
        <v>2894</v>
      </c>
      <c r="P217" s="2">
        <v>2667.2295081967213</v>
      </c>
    </row>
    <row r="218" spans="13:16" x14ac:dyDescent="0.25">
      <c r="M218" s="1">
        <v>46239</v>
      </c>
      <c r="N218">
        <v>2037</v>
      </c>
      <c r="O218">
        <v>2889</v>
      </c>
      <c r="P218" s="2">
        <v>2661.3852459016393</v>
      </c>
    </row>
    <row r="219" spans="13:16" x14ac:dyDescent="0.25">
      <c r="M219" s="1">
        <v>46240</v>
      </c>
      <c r="N219">
        <v>2029</v>
      </c>
      <c r="O219">
        <v>2883</v>
      </c>
      <c r="P219" s="2">
        <v>2655.0655737704919</v>
      </c>
    </row>
    <row r="220" spans="13:16" x14ac:dyDescent="0.25">
      <c r="M220" s="1">
        <v>46241</v>
      </c>
      <c r="N220">
        <v>2019</v>
      </c>
      <c r="O220">
        <v>2877</v>
      </c>
      <c r="P220" s="2">
        <v>2648.688524590164</v>
      </c>
    </row>
    <row r="221" spans="13:16" x14ac:dyDescent="0.25">
      <c r="M221" s="1">
        <v>46242</v>
      </c>
      <c r="N221">
        <v>2009</v>
      </c>
      <c r="O221">
        <v>2871</v>
      </c>
      <c r="P221" s="2">
        <v>2642.1721311475408</v>
      </c>
    </row>
    <row r="222" spans="13:16" x14ac:dyDescent="0.25">
      <c r="M222" s="1">
        <v>46243</v>
      </c>
      <c r="N222">
        <v>1998</v>
      </c>
      <c r="O222">
        <v>2868</v>
      </c>
      <c r="P222" s="2">
        <v>2635.5819672131147</v>
      </c>
    </row>
    <row r="223" spans="13:16" x14ac:dyDescent="0.25">
      <c r="M223" s="1">
        <v>46244</v>
      </c>
      <c r="N223">
        <v>1987</v>
      </c>
      <c r="O223">
        <v>2864</v>
      </c>
      <c r="P223" s="2">
        <v>2628.6147540983607</v>
      </c>
    </row>
    <row r="224" spans="13:16" x14ac:dyDescent="0.25">
      <c r="M224" s="1">
        <v>46245</v>
      </c>
      <c r="N224">
        <v>1976</v>
      </c>
      <c r="O224">
        <v>2860</v>
      </c>
      <c r="P224" s="2">
        <v>2621.6393442622953</v>
      </c>
    </row>
    <row r="225" spans="13:16" x14ac:dyDescent="0.25">
      <c r="M225" s="1">
        <v>46246</v>
      </c>
      <c r="N225">
        <v>1964</v>
      </c>
      <c r="O225">
        <v>2851</v>
      </c>
      <c r="P225" s="2">
        <v>2614.188524590164</v>
      </c>
    </row>
    <row r="226" spans="13:16" x14ac:dyDescent="0.25">
      <c r="M226" s="1">
        <v>46247</v>
      </c>
      <c r="N226">
        <v>1952</v>
      </c>
      <c r="O226">
        <v>2846</v>
      </c>
      <c r="P226" s="2">
        <v>2606.7540983606559</v>
      </c>
    </row>
    <row r="227" spans="13:16" x14ac:dyDescent="0.25">
      <c r="M227" s="1">
        <v>46248</v>
      </c>
      <c r="N227">
        <v>1937</v>
      </c>
      <c r="O227">
        <v>2841</v>
      </c>
      <c r="P227" s="2">
        <v>2599.2049180327867</v>
      </c>
    </row>
    <row r="228" spans="13:16" x14ac:dyDescent="0.25">
      <c r="M228" s="1">
        <v>46249</v>
      </c>
      <c r="N228">
        <v>1923</v>
      </c>
      <c r="O228">
        <v>2836</v>
      </c>
      <c r="P228" s="2">
        <v>2591.344262295082</v>
      </c>
    </row>
    <row r="229" spans="13:16" x14ac:dyDescent="0.25">
      <c r="M229" s="1">
        <v>46250</v>
      </c>
      <c r="N229">
        <v>1909</v>
      </c>
      <c r="O229">
        <v>2830</v>
      </c>
      <c r="P229" s="2">
        <v>2583.4262295081967</v>
      </c>
    </row>
    <row r="230" spans="13:16" x14ac:dyDescent="0.25">
      <c r="M230" s="1">
        <v>46251</v>
      </c>
      <c r="N230">
        <v>1895</v>
      </c>
      <c r="O230">
        <v>2824</v>
      </c>
      <c r="P230" s="2">
        <v>2575.1721311475408</v>
      </c>
    </row>
    <row r="231" spans="13:16" x14ac:dyDescent="0.25">
      <c r="M231" s="1">
        <v>46252</v>
      </c>
      <c r="N231">
        <v>1880</v>
      </c>
      <c r="O231">
        <v>2817</v>
      </c>
      <c r="P231" s="2">
        <v>2566.6803278688526</v>
      </c>
    </row>
    <row r="232" spans="13:16" x14ac:dyDescent="0.25">
      <c r="M232" s="1">
        <v>46253</v>
      </c>
      <c r="N232">
        <v>1867</v>
      </c>
      <c r="O232">
        <v>2813</v>
      </c>
      <c r="P232" s="2">
        <v>2558.188524590164</v>
      </c>
    </row>
    <row r="233" spans="13:16" x14ac:dyDescent="0.25">
      <c r="M233" s="1">
        <v>46254</v>
      </c>
      <c r="N233">
        <v>1853</v>
      </c>
      <c r="O233">
        <v>2809</v>
      </c>
      <c r="P233" s="2">
        <v>2549.3524590163934</v>
      </c>
    </row>
    <row r="234" spans="13:16" x14ac:dyDescent="0.25">
      <c r="M234" s="1">
        <v>46255</v>
      </c>
      <c r="N234">
        <v>1840</v>
      </c>
      <c r="O234">
        <v>2804</v>
      </c>
      <c r="P234" s="2">
        <v>2540.2704918032787</v>
      </c>
    </row>
    <row r="235" spans="13:16" x14ac:dyDescent="0.25">
      <c r="M235" s="1">
        <v>46256</v>
      </c>
      <c r="N235">
        <v>1830</v>
      </c>
      <c r="O235">
        <v>2799</v>
      </c>
      <c r="P235" s="2">
        <v>2531.2049180327867</v>
      </c>
    </row>
    <row r="236" spans="13:16" x14ac:dyDescent="0.25">
      <c r="M236" s="1">
        <v>46257</v>
      </c>
      <c r="N236">
        <v>1821</v>
      </c>
      <c r="O236">
        <v>2794</v>
      </c>
      <c r="P236" s="2">
        <v>2521.7049180327867</v>
      </c>
    </row>
    <row r="237" spans="13:16" x14ac:dyDescent="0.25">
      <c r="M237" s="1">
        <v>46258</v>
      </c>
      <c r="N237">
        <v>1816</v>
      </c>
      <c r="O237">
        <v>2789</v>
      </c>
      <c r="P237" s="2">
        <v>2512.2868852459014</v>
      </c>
    </row>
    <row r="238" spans="13:16" x14ac:dyDescent="0.25">
      <c r="M238" s="1">
        <v>46259</v>
      </c>
      <c r="N238">
        <v>1808</v>
      </c>
      <c r="O238">
        <v>2784</v>
      </c>
      <c r="P238" s="2">
        <v>2502.622950819672</v>
      </c>
    </row>
    <row r="239" spans="13:16" x14ac:dyDescent="0.25">
      <c r="M239" s="1">
        <v>46260</v>
      </c>
      <c r="N239">
        <v>1812</v>
      </c>
      <c r="O239">
        <v>2779</v>
      </c>
      <c r="P239" s="2">
        <v>2492.5737704918033</v>
      </c>
    </row>
    <row r="240" spans="13:16" x14ac:dyDescent="0.25">
      <c r="M240" s="1">
        <v>46261</v>
      </c>
      <c r="N240">
        <v>1811</v>
      </c>
      <c r="O240">
        <v>2775</v>
      </c>
      <c r="P240" s="2">
        <v>2482.467213114754</v>
      </c>
    </row>
    <row r="241" spans="13:16" x14ac:dyDescent="0.25">
      <c r="M241" s="1">
        <v>46262</v>
      </c>
      <c r="N241">
        <v>1812</v>
      </c>
      <c r="O241">
        <v>2772</v>
      </c>
      <c r="P241" s="2">
        <v>2471.8032786885246</v>
      </c>
    </row>
    <row r="242" spans="13:16" x14ac:dyDescent="0.25">
      <c r="M242" s="1">
        <v>46263</v>
      </c>
      <c r="N242">
        <v>1815</v>
      </c>
      <c r="O242">
        <v>2769</v>
      </c>
      <c r="P242" s="2">
        <v>2461.2950819672133</v>
      </c>
    </row>
    <row r="243" spans="13:16" x14ac:dyDescent="0.25">
      <c r="M243" s="1">
        <v>46264</v>
      </c>
      <c r="N243">
        <v>1818</v>
      </c>
      <c r="O243">
        <v>2764</v>
      </c>
      <c r="P243" s="2">
        <v>2450.5573770491801</v>
      </c>
    </row>
    <row r="244" spans="13:16" x14ac:dyDescent="0.25">
      <c r="M244" s="1">
        <v>46265</v>
      </c>
      <c r="N244">
        <v>1821</v>
      </c>
      <c r="O244">
        <v>2759</v>
      </c>
      <c r="P244" s="2">
        <v>2439.3032786885246</v>
      </c>
    </row>
    <row r="245" spans="13:16" x14ac:dyDescent="0.25">
      <c r="M245" s="1">
        <v>46266</v>
      </c>
      <c r="N245">
        <v>1828</v>
      </c>
      <c r="O245">
        <v>2754</v>
      </c>
      <c r="P245" s="2">
        <v>2427.7131147540986</v>
      </c>
    </row>
    <row r="246" spans="13:16" x14ac:dyDescent="0.25">
      <c r="M246" s="1">
        <v>46267</v>
      </c>
      <c r="N246">
        <v>1835</v>
      </c>
      <c r="O246">
        <v>2748</v>
      </c>
      <c r="P246" s="2">
        <v>2416.4262295081967</v>
      </c>
    </row>
    <row r="247" spans="13:16" x14ac:dyDescent="0.25">
      <c r="M247" s="1">
        <v>46268</v>
      </c>
      <c r="N247">
        <v>1826</v>
      </c>
      <c r="O247">
        <v>2743</v>
      </c>
      <c r="P247" s="2">
        <v>2404.311475409836</v>
      </c>
    </row>
    <row r="248" spans="13:16" x14ac:dyDescent="0.25">
      <c r="M248" s="1">
        <v>46269</v>
      </c>
      <c r="N248">
        <v>1827</v>
      </c>
      <c r="O248">
        <v>2738</v>
      </c>
      <c r="P248" s="2">
        <v>2392.2377049180327</v>
      </c>
    </row>
    <row r="249" spans="13:16" x14ac:dyDescent="0.25">
      <c r="M249" s="1">
        <v>46270</v>
      </c>
      <c r="N249">
        <v>1827</v>
      </c>
      <c r="O249">
        <v>2734</v>
      </c>
      <c r="P249" s="2">
        <v>2379.9344262295081</v>
      </c>
    </row>
    <row r="250" spans="13:16" x14ac:dyDescent="0.25">
      <c r="M250" s="1">
        <v>46271</v>
      </c>
      <c r="N250">
        <v>1827</v>
      </c>
      <c r="O250">
        <v>2728</v>
      </c>
      <c r="P250" s="2">
        <v>2367.4098360655739</v>
      </c>
    </row>
    <row r="251" spans="13:16" x14ac:dyDescent="0.25">
      <c r="M251" s="1">
        <v>46272</v>
      </c>
      <c r="N251">
        <v>1818</v>
      </c>
      <c r="O251">
        <v>2721</v>
      </c>
      <c r="P251" s="2">
        <v>2354.5163934426228</v>
      </c>
    </row>
    <row r="252" spans="13:16" x14ac:dyDescent="0.25">
      <c r="M252" s="1">
        <v>46273</v>
      </c>
      <c r="N252">
        <v>1798</v>
      </c>
      <c r="O252">
        <v>2714</v>
      </c>
      <c r="P252" s="2">
        <v>2341.6803278688526</v>
      </c>
    </row>
    <row r="253" spans="13:16" x14ac:dyDescent="0.25">
      <c r="M253" s="1">
        <v>46274</v>
      </c>
      <c r="N253">
        <v>1773</v>
      </c>
      <c r="O253">
        <v>2708</v>
      </c>
      <c r="P253" s="2">
        <v>2328.2868852459014</v>
      </c>
    </row>
    <row r="254" spans="13:16" x14ac:dyDescent="0.25">
      <c r="M254" s="1">
        <v>46275</v>
      </c>
      <c r="N254">
        <v>1747</v>
      </c>
      <c r="O254">
        <v>2702</v>
      </c>
      <c r="P254" s="2">
        <v>2314.8524590163934</v>
      </c>
    </row>
    <row r="255" spans="13:16" x14ac:dyDescent="0.25">
      <c r="M255" s="1">
        <v>46276</v>
      </c>
      <c r="N255">
        <v>1721</v>
      </c>
      <c r="O255">
        <v>2696</v>
      </c>
      <c r="P255" s="2">
        <v>2301.188524590164</v>
      </c>
    </row>
    <row r="256" spans="13:16" x14ac:dyDescent="0.25">
      <c r="M256" s="1">
        <v>46277</v>
      </c>
      <c r="N256">
        <v>1697</v>
      </c>
      <c r="O256">
        <v>2689</v>
      </c>
      <c r="P256" s="2">
        <v>2286.9836065573772</v>
      </c>
    </row>
    <row r="257" spans="13:16" x14ac:dyDescent="0.25">
      <c r="M257" s="1">
        <v>46278</v>
      </c>
      <c r="N257">
        <v>1675</v>
      </c>
      <c r="O257">
        <v>2682</v>
      </c>
      <c r="P257" s="2">
        <v>2272.9344262295081</v>
      </c>
    </row>
    <row r="258" spans="13:16" x14ac:dyDescent="0.25">
      <c r="M258" s="1">
        <v>46279</v>
      </c>
      <c r="N258">
        <v>1650</v>
      </c>
      <c r="O258">
        <v>2675</v>
      </c>
      <c r="P258" s="2">
        <v>2258.7459016393441</v>
      </c>
    </row>
    <row r="259" spans="13:16" x14ac:dyDescent="0.25">
      <c r="M259" s="1">
        <v>46280</v>
      </c>
      <c r="N259">
        <v>1625</v>
      </c>
      <c r="O259">
        <v>2668</v>
      </c>
      <c r="P259" s="2">
        <v>2244.1721311475408</v>
      </c>
    </row>
    <row r="260" spans="13:16" x14ac:dyDescent="0.25">
      <c r="M260" s="1">
        <v>46281</v>
      </c>
      <c r="N260">
        <v>1599</v>
      </c>
      <c r="O260">
        <v>2661</v>
      </c>
      <c r="P260" s="2">
        <v>2229.688524590164</v>
      </c>
    </row>
    <row r="261" spans="13:16" x14ac:dyDescent="0.25">
      <c r="M261" s="1">
        <v>46282</v>
      </c>
      <c r="N261">
        <v>1577</v>
      </c>
      <c r="O261">
        <v>2654</v>
      </c>
      <c r="P261" s="2">
        <v>2215.1393442622953</v>
      </c>
    </row>
    <row r="262" spans="13:16" x14ac:dyDescent="0.25">
      <c r="M262" s="1">
        <v>46283</v>
      </c>
      <c r="N262">
        <v>1553</v>
      </c>
      <c r="O262">
        <v>2647</v>
      </c>
      <c r="P262" s="2">
        <v>2200.3196721311474</v>
      </c>
    </row>
    <row r="263" spans="13:16" x14ac:dyDescent="0.25">
      <c r="M263" s="1">
        <v>46284</v>
      </c>
      <c r="N263">
        <v>1529</v>
      </c>
      <c r="O263">
        <v>2640</v>
      </c>
      <c r="P263" s="2">
        <v>2185.8934426229507</v>
      </c>
    </row>
    <row r="264" spans="13:16" x14ac:dyDescent="0.25">
      <c r="M264" s="1">
        <v>46285</v>
      </c>
      <c r="N264">
        <v>1508</v>
      </c>
      <c r="O264">
        <v>2632</v>
      </c>
      <c r="P264" s="2">
        <v>2171.467213114754</v>
      </c>
    </row>
    <row r="265" spans="13:16" x14ac:dyDescent="0.25">
      <c r="M265" s="1">
        <v>46286</v>
      </c>
      <c r="N265">
        <v>1487</v>
      </c>
      <c r="O265">
        <v>2623</v>
      </c>
      <c r="P265" s="2">
        <v>2156.7377049180327</v>
      </c>
    </row>
    <row r="266" spans="13:16" x14ac:dyDescent="0.25">
      <c r="M266" s="1">
        <v>46287</v>
      </c>
      <c r="N266">
        <v>1468</v>
      </c>
      <c r="O266">
        <v>2614</v>
      </c>
      <c r="P266" s="2">
        <v>2142.122950819672</v>
      </c>
    </row>
    <row r="267" spans="13:16" x14ac:dyDescent="0.25">
      <c r="M267" s="1">
        <v>46288</v>
      </c>
      <c r="N267">
        <v>1449</v>
      </c>
      <c r="O267">
        <v>2604</v>
      </c>
      <c r="P267" s="2">
        <v>2128.0983606557379</v>
      </c>
    </row>
    <row r="268" spans="13:16" x14ac:dyDescent="0.25">
      <c r="M268" s="1">
        <v>46289</v>
      </c>
      <c r="N268">
        <v>1430</v>
      </c>
      <c r="O268">
        <v>2595</v>
      </c>
      <c r="P268" s="2">
        <v>2113.9344262295081</v>
      </c>
    </row>
    <row r="269" spans="13:16" x14ac:dyDescent="0.25">
      <c r="M269" s="1">
        <v>46290</v>
      </c>
      <c r="N269">
        <v>1411</v>
      </c>
      <c r="O269">
        <v>2586</v>
      </c>
      <c r="P269" s="2">
        <v>2099.8278688524592</v>
      </c>
    </row>
    <row r="270" spans="13:16" x14ac:dyDescent="0.25">
      <c r="M270" s="1">
        <v>46291</v>
      </c>
      <c r="N270">
        <v>1392</v>
      </c>
      <c r="O270">
        <v>2576</v>
      </c>
      <c r="P270" s="2">
        <v>2085.8032786885246</v>
      </c>
    </row>
    <row r="271" spans="13:16" x14ac:dyDescent="0.25">
      <c r="M271" s="1">
        <v>46292</v>
      </c>
      <c r="N271">
        <v>1373</v>
      </c>
      <c r="O271">
        <v>2566</v>
      </c>
      <c r="P271" s="2">
        <v>2072.0901639344261</v>
      </c>
    </row>
    <row r="272" spans="13:16" x14ac:dyDescent="0.25">
      <c r="M272" s="1">
        <v>46293</v>
      </c>
      <c r="N272">
        <v>1354</v>
      </c>
      <c r="O272">
        <v>2555</v>
      </c>
      <c r="P272" s="2">
        <v>2058.4426229508199</v>
      </c>
    </row>
    <row r="273" spans="13:16" x14ac:dyDescent="0.25">
      <c r="M273" s="1">
        <v>46294</v>
      </c>
      <c r="N273">
        <v>1336</v>
      </c>
      <c r="O273">
        <v>2544</v>
      </c>
      <c r="P273" s="2">
        <v>2045.0737704918033</v>
      </c>
    </row>
    <row r="274" spans="13:16" x14ac:dyDescent="0.25">
      <c r="M274" s="1">
        <v>46295</v>
      </c>
      <c r="N274">
        <v>1319</v>
      </c>
      <c r="O274">
        <v>2534</v>
      </c>
      <c r="P274" s="2">
        <v>2031.9098360655737</v>
      </c>
    </row>
    <row r="275" spans="13:16" x14ac:dyDescent="0.25">
      <c r="M275" s="1">
        <v>46296</v>
      </c>
      <c r="N275">
        <v>1305</v>
      </c>
      <c r="O275">
        <v>2524</v>
      </c>
      <c r="P275" s="2">
        <v>2018.967213114754</v>
      </c>
    </row>
    <row r="276" spans="13:16" x14ac:dyDescent="0.25">
      <c r="M276" s="1">
        <v>46297</v>
      </c>
      <c r="N276">
        <v>1291</v>
      </c>
      <c r="O276">
        <v>2512</v>
      </c>
      <c r="P276" s="2">
        <v>2006.0081967213114</v>
      </c>
    </row>
    <row r="277" spans="13:16" x14ac:dyDescent="0.25">
      <c r="M277" s="1">
        <v>46298</v>
      </c>
      <c r="N277">
        <v>1277</v>
      </c>
      <c r="O277">
        <v>2501</v>
      </c>
      <c r="P277" s="2">
        <v>1993.8032786885246</v>
      </c>
    </row>
    <row r="278" spans="13:16" x14ac:dyDescent="0.25">
      <c r="M278" s="1">
        <v>46299</v>
      </c>
      <c r="N278">
        <v>1266</v>
      </c>
      <c r="O278">
        <v>2489</v>
      </c>
      <c r="P278" s="2">
        <v>1981.4344262295083</v>
      </c>
    </row>
    <row r="279" spans="13:16" x14ac:dyDescent="0.25">
      <c r="M279" s="1">
        <v>46300</v>
      </c>
      <c r="N279">
        <v>1253</v>
      </c>
      <c r="O279">
        <v>2483</v>
      </c>
      <c r="P279" s="2">
        <v>1969.6311475409836</v>
      </c>
    </row>
    <row r="280" spans="13:16" x14ac:dyDescent="0.25">
      <c r="M280" s="1">
        <v>46301</v>
      </c>
      <c r="N280">
        <v>1241</v>
      </c>
      <c r="O280">
        <v>2476</v>
      </c>
      <c r="P280" s="2">
        <v>1958.2540983606557</v>
      </c>
    </row>
    <row r="281" spans="13:16" x14ac:dyDescent="0.25">
      <c r="M281" s="1">
        <v>46302</v>
      </c>
      <c r="N281">
        <v>1238</v>
      </c>
      <c r="O281">
        <v>2469</v>
      </c>
      <c r="P281" s="2">
        <v>1947.3196721311476</v>
      </c>
    </row>
    <row r="282" spans="13:16" x14ac:dyDescent="0.25">
      <c r="M282" s="1">
        <v>46303</v>
      </c>
      <c r="N282">
        <v>1238</v>
      </c>
      <c r="O282">
        <v>2461</v>
      </c>
      <c r="P282" s="2">
        <v>1936.5737704918033</v>
      </c>
    </row>
    <row r="283" spans="13:16" x14ac:dyDescent="0.25">
      <c r="M283" s="1">
        <v>46304</v>
      </c>
      <c r="N283">
        <v>1234</v>
      </c>
      <c r="O283">
        <v>2453</v>
      </c>
      <c r="P283" s="2">
        <v>1925.9262295081967</v>
      </c>
    </row>
    <row r="284" spans="13:16" x14ac:dyDescent="0.25">
      <c r="M284" s="1">
        <v>46305</v>
      </c>
      <c r="N284">
        <v>1232</v>
      </c>
      <c r="O284">
        <v>2446</v>
      </c>
      <c r="P284" s="2">
        <v>1916.1147540983607</v>
      </c>
    </row>
    <row r="285" spans="13:16" x14ac:dyDescent="0.25">
      <c r="M285" s="1">
        <v>46306</v>
      </c>
      <c r="N285">
        <v>1228</v>
      </c>
      <c r="O285">
        <v>2438</v>
      </c>
      <c r="P285" s="2">
        <v>1906.311475409836</v>
      </c>
    </row>
    <row r="286" spans="13:16" x14ac:dyDescent="0.25">
      <c r="M286" s="1">
        <v>46307</v>
      </c>
      <c r="N286">
        <v>1225</v>
      </c>
      <c r="O286">
        <v>2429</v>
      </c>
      <c r="P286" s="2">
        <v>1897.0245901639344</v>
      </c>
    </row>
    <row r="287" spans="13:16" x14ac:dyDescent="0.25">
      <c r="M287" s="1">
        <v>46308</v>
      </c>
      <c r="N287">
        <v>1228</v>
      </c>
      <c r="O287">
        <v>2421</v>
      </c>
      <c r="P287" s="2">
        <v>1888.2704918032787</v>
      </c>
    </row>
    <row r="288" spans="13:16" x14ac:dyDescent="0.25">
      <c r="M288" s="1">
        <v>46309</v>
      </c>
      <c r="N288">
        <v>1228</v>
      </c>
      <c r="O288">
        <v>2413</v>
      </c>
      <c r="P288" s="2">
        <v>1879.6803278688524</v>
      </c>
    </row>
    <row r="289" spans="13:16" x14ac:dyDescent="0.25">
      <c r="M289" s="1">
        <v>46310</v>
      </c>
      <c r="N289">
        <v>1231</v>
      </c>
      <c r="O289">
        <v>2405</v>
      </c>
      <c r="P289" s="2">
        <v>1871.549180327869</v>
      </c>
    </row>
    <row r="290" spans="13:16" x14ac:dyDescent="0.25">
      <c r="M290" s="1">
        <v>46311</v>
      </c>
      <c r="N290">
        <v>1235</v>
      </c>
      <c r="O290">
        <v>2399</v>
      </c>
      <c r="P290" s="2">
        <v>1863.8852459016393</v>
      </c>
    </row>
    <row r="291" spans="13:16" x14ac:dyDescent="0.25">
      <c r="M291" s="1">
        <v>46312</v>
      </c>
      <c r="N291">
        <v>1238</v>
      </c>
      <c r="O291">
        <v>2392</v>
      </c>
      <c r="P291" s="2">
        <v>1856.3360655737704</v>
      </c>
    </row>
    <row r="292" spans="13:16" x14ac:dyDescent="0.25">
      <c r="M292" s="1">
        <v>46313</v>
      </c>
      <c r="N292">
        <v>1247</v>
      </c>
      <c r="O292">
        <v>2386</v>
      </c>
      <c r="P292" s="2">
        <v>1849.5737704918033</v>
      </c>
    </row>
    <row r="293" spans="13:16" x14ac:dyDescent="0.25">
      <c r="M293" s="1">
        <v>46314</v>
      </c>
      <c r="N293">
        <v>1246</v>
      </c>
      <c r="O293">
        <v>2379</v>
      </c>
      <c r="P293" s="2">
        <v>1843.3032786885246</v>
      </c>
    </row>
    <row r="294" spans="13:16" x14ac:dyDescent="0.25">
      <c r="M294" s="1">
        <v>46315</v>
      </c>
      <c r="N294">
        <v>1248</v>
      </c>
      <c r="O294">
        <v>2372</v>
      </c>
      <c r="P294" s="2">
        <v>1837.5081967213114</v>
      </c>
    </row>
    <row r="295" spans="13:16" x14ac:dyDescent="0.25">
      <c r="M295" s="1">
        <v>46316</v>
      </c>
      <c r="N295">
        <v>1250</v>
      </c>
      <c r="O295">
        <v>2366</v>
      </c>
      <c r="P295" s="2">
        <v>1832.0901639344263</v>
      </c>
    </row>
    <row r="296" spans="13:16" x14ac:dyDescent="0.25">
      <c r="M296" s="1">
        <v>46317</v>
      </c>
      <c r="N296">
        <v>1255</v>
      </c>
      <c r="O296">
        <v>2360</v>
      </c>
      <c r="P296" s="2">
        <v>1827.4262295081967</v>
      </c>
    </row>
    <row r="297" spans="13:16" x14ac:dyDescent="0.25">
      <c r="M297" s="1">
        <v>46318</v>
      </c>
      <c r="N297">
        <v>1256</v>
      </c>
      <c r="O297">
        <v>2354</v>
      </c>
      <c r="P297" s="2">
        <v>1823.4180327868853</v>
      </c>
    </row>
    <row r="298" spans="13:16" x14ac:dyDescent="0.25">
      <c r="M298" s="1">
        <v>46319</v>
      </c>
      <c r="N298">
        <v>1255</v>
      </c>
      <c r="O298">
        <v>2346</v>
      </c>
      <c r="P298" s="2">
        <v>1819.967213114754</v>
      </c>
    </row>
    <row r="299" spans="13:16" x14ac:dyDescent="0.25">
      <c r="M299" s="1">
        <v>46320</v>
      </c>
      <c r="N299">
        <v>1250</v>
      </c>
      <c r="O299">
        <v>2339</v>
      </c>
      <c r="P299" s="2">
        <v>1817.360655737705</v>
      </c>
    </row>
    <row r="300" spans="13:16" x14ac:dyDescent="0.25">
      <c r="M300" s="1">
        <v>46321</v>
      </c>
      <c r="N300">
        <v>1243</v>
      </c>
      <c r="O300">
        <v>2332</v>
      </c>
      <c r="P300" s="2">
        <v>1814.811475409836</v>
      </c>
    </row>
    <row r="301" spans="13:16" x14ac:dyDescent="0.25">
      <c r="M301" s="1">
        <v>46322</v>
      </c>
      <c r="N301">
        <v>1236</v>
      </c>
      <c r="O301">
        <v>2324</v>
      </c>
      <c r="P301" s="2">
        <v>1812.8852459016393</v>
      </c>
    </row>
    <row r="302" spans="13:16" x14ac:dyDescent="0.25">
      <c r="M302" s="1">
        <v>46323</v>
      </c>
      <c r="N302">
        <v>1227</v>
      </c>
      <c r="O302">
        <v>2316</v>
      </c>
      <c r="P302" s="2">
        <v>1811.360655737705</v>
      </c>
    </row>
    <row r="303" spans="13:16" x14ac:dyDescent="0.25">
      <c r="M303" s="1">
        <v>46324</v>
      </c>
      <c r="N303">
        <v>1222</v>
      </c>
      <c r="O303">
        <v>2309</v>
      </c>
      <c r="P303" s="2">
        <v>1810.360655737705</v>
      </c>
    </row>
    <row r="304" spans="13:16" x14ac:dyDescent="0.25">
      <c r="M304" s="1">
        <v>46325</v>
      </c>
      <c r="N304">
        <v>1218</v>
      </c>
      <c r="O304">
        <v>2301</v>
      </c>
      <c r="P304" s="2">
        <v>1809.860655737705</v>
      </c>
    </row>
    <row r="305" spans="13:16" x14ac:dyDescent="0.25">
      <c r="M305" s="1">
        <v>46326</v>
      </c>
      <c r="N305">
        <v>1215</v>
      </c>
      <c r="O305">
        <v>2292</v>
      </c>
      <c r="P305" s="2">
        <v>1810.1639344262296</v>
      </c>
    </row>
    <row r="306" spans="13:16" x14ac:dyDescent="0.25">
      <c r="M306" s="1">
        <v>46327</v>
      </c>
      <c r="N306">
        <v>1216</v>
      </c>
      <c r="O306">
        <v>2282</v>
      </c>
      <c r="P306" s="2">
        <v>1810.4098360655737</v>
      </c>
    </row>
    <row r="307" spans="13:16" x14ac:dyDescent="0.25">
      <c r="M307" s="1">
        <v>46328</v>
      </c>
      <c r="N307">
        <v>1213</v>
      </c>
      <c r="O307">
        <v>2271</v>
      </c>
      <c r="P307" s="2">
        <v>1811.2786885245901</v>
      </c>
    </row>
    <row r="308" spans="13:16" x14ac:dyDescent="0.25">
      <c r="M308" s="1">
        <v>46329</v>
      </c>
      <c r="N308">
        <v>1213</v>
      </c>
      <c r="O308">
        <v>2269</v>
      </c>
      <c r="P308" s="2">
        <v>1812.3196721311476</v>
      </c>
    </row>
    <row r="309" spans="13:16" x14ac:dyDescent="0.25">
      <c r="M309" s="1">
        <v>46330</v>
      </c>
      <c r="N309">
        <v>1214</v>
      </c>
      <c r="O309">
        <v>2268</v>
      </c>
      <c r="P309" s="2">
        <v>1813.7295081967213</v>
      </c>
    </row>
    <row r="310" spans="13:16" x14ac:dyDescent="0.25">
      <c r="M310" s="1">
        <v>46331</v>
      </c>
      <c r="N310">
        <v>1216</v>
      </c>
      <c r="O310">
        <v>2266</v>
      </c>
      <c r="P310" s="2">
        <v>1815.639344262295</v>
      </c>
    </row>
    <row r="311" spans="13:16" x14ac:dyDescent="0.25">
      <c r="M311" s="1">
        <v>46332</v>
      </c>
      <c r="N311">
        <v>1215</v>
      </c>
      <c r="O311">
        <v>2263</v>
      </c>
      <c r="P311" s="2">
        <v>1817.655737704918</v>
      </c>
    </row>
    <row r="312" spans="13:16" x14ac:dyDescent="0.25">
      <c r="M312" s="1">
        <v>46333</v>
      </c>
      <c r="N312">
        <v>1216</v>
      </c>
      <c r="O312">
        <v>2259</v>
      </c>
      <c r="P312" s="2">
        <v>1819.9262295081967</v>
      </c>
    </row>
    <row r="313" spans="13:16" x14ac:dyDescent="0.25">
      <c r="M313" s="1">
        <v>46334</v>
      </c>
      <c r="N313">
        <v>1220</v>
      </c>
      <c r="O313">
        <v>2255</v>
      </c>
      <c r="P313" s="2">
        <v>1822.1803278688524</v>
      </c>
    </row>
    <row r="314" spans="13:16" x14ac:dyDescent="0.25">
      <c r="M314" s="1">
        <v>46335</v>
      </c>
      <c r="N314">
        <v>1226</v>
      </c>
      <c r="O314">
        <v>2252</v>
      </c>
      <c r="P314" s="2">
        <v>1824.6803278688524</v>
      </c>
    </row>
    <row r="315" spans="13:16" x14ac:dyDescent="0.25">
      <c r="M315" s="1">
        <v>46336</v>
      </c>
      <c r="N315">
        <v>1236</v>
      </c>
      <c r="O315">
        <v>2249</v>
      </c>
      <c r="P315" s="2">
        <v>1827.0737704918033</v>
      </c>
    </row>
    <row r="316" spans="13:16" x14ac:dyDescent="0.25">
      <c r="M316" s="1">
        <v>46337</v>
      </c>
      <c r="N316">
        <v>1250</v>
      </c>
      <c r="O316">
        <v>2246</v>
      </c>
      <c r="P316" s="2">
        <v>1829.5081967213114</v>
      </c>
    </row>
    <row r="317" spans="13:16" x14ac:dyDescent="0.25">
      <c r="M317" s="1">
        <v>46338</v>
      </c>
      <c r="N317">
        <v>1268</v>
      </c>
      <c r="O317">
        <v>2243</v>
      </c>
      <c r="P317" s="2">
        <v>1832.2704918032787</v>
      </c>
    </row>
    <row r="318" spans="13:16" x14ac:dyDescent="0.25">
      <c r="M318" s="1">
        <v>46339</v>
      </c>
      <c r="N318">
        <v>1288</v>
      </c>
      <c r="O318">
        <v>2240</v>
      </c>
      <c r="P318" s="2">
        <v>1835.0655737704917</v>
      </c>
    </row>
    <row r="319" spans="13:16" x14ac:dyDescent="0.25">
      <c r="M319" s="1">
        <v>46340</v>
      </c>
      <c r="N319">
        <v>1304</v>
      </c>
      <c r="O319">
        <v>2240</v>
      </c>
      <c r="P319" s="2">
        <v>1837.8688524590164</v>
      </c>
    </row>
    <row r="320" spans="13:16" x14ac:dyDescent="0.25">
      <c r="M320" s="1">
        <v>46341</v>
      </c>
      <c r="N320">
        <v>1301</v>
      </c>
      <c r="O320">
        <v>2242</v>
      </c>
      <c r="P320" s="2">
        <v>1840.877049180328</v>
      </c>
    </row>
    <row r="321" spans="13:16" x14ac:dyDescent="0.25">
      <c r="M321" s="1">
        <v>46342</v>
      </c>
      <c r="N321">
        <v>1298</v>
      </c>
      <c r="O321">
        <v>2243</v>
      </c>
      <c r="P321" s="2">
        <v>1843.9754098360656</v>
      </c>
    </row>
    <row r="322" spans="13:16" x14ac:dyDescent="0.25">
      <c r="M322" s="1">
        <v>46343</v>
      </c>
      <c r="N322">
        <v>1296</v>
      </c>
      <c r="O322">
        <v>2244</v>
      </c>
      <c r="P322" s="2">
        <v>1847.327868852459</v>
      </c>
    </row>
    <row r="323" spans="13:16" x14ac:dyDescent="0.25">
      <c r="M323" s="1">
        <v>46344</v>
      </c>
      <c r="N323">
        <v>1296</v>
      </c>
      <c r="O323">
        <v>2246</v>
      </c>
      <c r="P323" s="2">
        <v>1850.532786885246</v>
      </c>
    </row>
    <row r="324" spans="13:16" x14ac:dyDescent="0.25">
      <c r="M324" s="1">
        <v>46345</v>
      </c>
      <c r="N324">
        <v>1298</v>
      </c>
      <c r="O324">
        <v>2247</v>
      </c>
      <c r="P324" s="2">
        <v>1853.532786885246</v>
      </c>
    </row>
    <row r="325" spans="13:16" x14ac:dyDescent="0.25">
      <c r="M325" s="1">
        <v>46346</v>
      </c>
      <c r="N325">
        <v>1303</v>
      </c>
      <c r="O325">
        <v>2249</v>
      </c>
      <c r="P325" s="2">
        <v>1856.516393442623</v>
      </c>
    </row>
    <row r="326" spans="13:16" x14ac:dyDescent="0.25">
      <c r="M326" s="1">
        <v>46347</v>
      </c>
      <c r="N326">
        <v>1311</v>
      </c>
      <c r="O326">
        <v>2256</v>
      </c>
      <c r="P326" s="2">
        <v>1859.3688524590164</v>
      </c>
    </row>
    <row r="327" spans="13:16" x14ac:dyDescent="0.25">
      <c r="M327" s="1">
        <v>46348</v>
      </c>
      <c r="N327">
        <v>1320</v>
      </c>
      <c r="O327">
        <v>2259</v>
      </c>
      <c r="P327" s="2">
        <v>1862.8934426229507</v>
      </c>
    </row>
    <row r="328" spans="13:16" x14ac:dyDescent="0.25">
      <c r="M328" s="1">
        <v>46349</v>
      </c>
      <c r="N328">
        <v>1333</v>
      </c>
      <c r="O328">
        <v>2261</v>
      </c>
      <c r="P328" s="2">
        <v>1866.2213114754099</v>
      </c>
    </row>
    <row r="329" spans="13:16" x14ac:dyDescent="0.25">
      <c r="M329" s="1">
        <v>46350</v>
      </c>
      <c r="N329">
        <v>1347</v>
      </c>
      <c r="O329">
        <v>2263</v>
      </c>
      <c r="P329" s="2">
        <v>1869.7540983606557</v>
      </c>
    </row>
    <row r="330" spans="13:16" x14ac:dyDescent="0.25">
      <c r="M330" s="1">
        <v>46351</v>
      </c>
      <c r="N330">
        <v>1365</v>
      </c>
      <c r="O330">
        <v>2267</v>
      </c>
      <c r="P330" s="2">
        <v>1873.0573770491803</v>
      </c>
    </row>
    <row r="331" spans="13:16" x14ac:dyDescent="0.25">
      <c r="M331" s="1">
        <v>46352</v>
      </c>
      <c r="N331">
        <v>1378</v>
      </c>
      <c r="O331">
        <v>2270</v>
      </c>
      <c r="P331" s="2">
        <v>1876.5</v>
      </c>
    </row>
    <row r="332" spans="13:16" x14ac:dyDescent="0.25">
      <c r="M332" s="1">
        <v>46353</v>
      </c>
      <c r="N332">
        <v>1395</v>
      </c>
      <c r="O332">
        <v>2273</v>
      </c>
      <c r="P332" s="2">
        <v>1880.2131147540983</v>
      </c>
    </row>
    <row r="333" spans="13:16" x14ac:dyDescent="0.25">
      <c r="M333" s="1">
        <v>46354</v>
      </c>
      <c r="N333">
        <v>1409</v>
      </c>
      <c r="O333">
        <v>2275</v>
      </c>
      <c r="P333" s="2">
        <v>1884.1475409836066</v>
      </c>
    </row>
    <row r="334" spans="13:16" x14ac:dyDescent="0.25">
      <c r="M334" s="1">
        <v>46355</v>
      </c>
      <c r="N334">
        <v>1425</v>
      </c>
      <c r="O334">
        <v>2278</v>
      </c>
      <c r="P334" s="2">
        <v>1888.4180327868853</v>
      </c>
    </row>
    <row r="335" spans="13:16" x14ac:dyDescent="0.25">
      <c r="M335" s="1">
        <v>46356</v>
      </c>
      <c r="N335">
        <v>1435</v>
      </c>
      <c r="O335">
        <v>2280</v>
      </c>
      <c r="P335" s="2">
        <v>1892.8032786885246</v>
      </c>
    </row>
    <row r="336" spans="13:16" x14ac:dyDescent="0.25">
      <c r="M336" s="1">
        <v>46357</v>
      </c>
      <c r="N336">
        <v>1438</v>
      </c>
      <c r="O336">
        <v>2282</v>
      </c>
      <c r="P336" s="2">
        <v>1897.3852459016393</v>
      </c>
    </row>
    <row r="337" spans="13:16" x14ac:dyDescent="0.25">
      <c r="M337" s="1">
        <v>46358</v>
      </c>
      <c r="N337">
        <v>1445</v>
      </c>
      <c r="O337">
        <v>2295</v>
      </c>
      <c r="P337" s="2">
        <v>1902.155737704918</v>
      </c>
    </row>
    <row r="338" spans="13:16" x14ac:dyDescent="0.25">
      <c r="M338" s="1">
        <v>46359</v>
      </c>
      <c r="N338">
        <v>1448</v>
      </c>
      <c r="O338">
        <v>2288</v>
      </c>
      <c r="P338" s="2">
        <v>1906.655737704918</v>
      </c>
    </row>
    <row r="339" spans="13:16" x14ac:dyDescent="0.25">
      <c r="M339" s="1">
        <v>46360</v>
      </c>
      <c r="N339">
        <v>1456</v>
      </c>
      <c r="O339">
        <v>2292</v>
      </c>
      <c r="P339" s="2">
        <v>1910.9754098360656</v>
      </c>
    </row>
    <row r="340" spans="13:16" x14ac:dyDescent="0.25">
      <c r="M340" s="1">
        <v>46361</v>
      </c>
      <c r="N340">
        <v>1464</v>
      </c>
      <c r="O340">
        <v>2297</v>
      </c>
      <c r="P340" s="2">
        <v>1915.967213114754</v>
      </c>
    </row>
    <row r="341" spans="13:16" x14ac:dyDescent="0.25">
      <c r="M341" s="1">
        <v>46362</v>
      </c>
      <c r="N341">
        <v>1472</v>
      </c>
      <c r="O341">
        <v>2302</v>
      </c>
      <c r="P341" s="2">
        <v>1920.7540983606557</v>
      </c>
    </row>
    <row r="342" spans="13:16" x14ac:dyDescent="0.25">
      <c r="M342" s="1">
        <v>46363</v>
      </c>
      <c r="N342">
        <v>1487</v>
      </c>
      <c r="O342">
        <v>2307</v>
      </c>
      <c r="P342" s="2">
        <v>1925.688524590164</v>
      </c>
    </row>
    <row r="343" spans="13:16" x14ac:dyDescent="0.25">
      <c r="M343" s="1">
        <v>46364</v>
      </c>
      <c r="N343">
        <v>1497</v>
      </c>
      <c r="O343">
        <v>2312</v>
      </c>
      <c r="P343" s="2">
        <v>1930.4344262295083</v>
      </c>
    </row>
    <row r="344" spans="13:16" x14ac:dyDescent="0.25">
      <c r="M344" s="1">
        <v>46365</v>
      </c>
      <c r="N344">
        <v>1504</v>
      </c>
      <c r="O344">
        <v>2313</v>
      </c>
      <c r="P344" s="2">
        <v>1935.311475409836</v>
      </c>
    </row>
    <row r="345" spans="13:16" x14ac:dyDescent="0.25">
      <c r="M345" s="1">
        <v>46366</v>
      </c>
      <c r="N345">
        <v>1512</v>
      </c>
      <c r="O345">
        <v>2320</v>
      </c>
      <c r="P345" s="2">
        <v>1940.0819672131147</v>
      </c>
    </row>
    <row r="346" spans="13:16" x14ac:dyDescent="0.25">
      <c r="M346" s="1">
        <v>46367</v>
      </c>
      <c r="N346">
        <v>1525</v>
      </c>
      <c r="O346">
        <v>2323</v>
      </c>
      <c r="P346" s="2">
        <v>1944.811475409836</v>
      </c>
    </row>
    <row r="347" spans="13:16" x14ac:dyDescent="0.25">
      <c r="M347" s="1">
        <v>46368</v>
      </c>
      <c r="N347">
        <v>1534</v>
      </c>
      <c r="O347">
        <v>2326</v>
      </c>
      <c r="P347" s="2">
        <v>1949.5081967213114</v>
      </c>
    </row>
    <row r="348" spans="13:16" x14ac:dyDescent="0.25">
      <c r="M348" s="1">
        <v>46369</v>
      </c>
      <c r="N348">
        <v>1549</v>
      </c>
      <c r="O348">
        <v>2329</v>
      </c>
      <c r="P348" s="2">
        <v>1954.2131147540983</v>
      </c>
    </row>
    <row r="349" spans="13:16" x14ac:dyDescent="0.25">
      <c r="M349" s="1">
        <v>46370</v>
      </c>
      <c r="N349">
        <v>1564</v>
      </c>
      <c r="O349">
        <v>2331</v>
      </c>
      <c r="P349" s="2">
        <v>1958.7868852459017</v>
      </c>
    </row>
    <row r="350" spans="13:16" x14ac:dyDescent="0.25">
      <c r="M350" s="1">
        <v>46371</v>
      </c>
      <c r="N350">
        <v>1576</v>
      </c>
      <c r="O350">
        <v>2333</v>
      </c>
      <c r="P350" s="2">
        <v>1963.3688524590164</v>
      </c>
    </row>
    <row r="351" spans="13:16" x14ac:dyDescent="0.25">
      <c r="M351" s="1">
        <v>46372</v>
      </c>
      <c r="N351">
        <v>1589</v>
      </c>
      <c r="O351">
        <v>2335</v>
      </c>
      <c r="P351" s="2">
        <v>1968.0573770491803</v>
      </c>
    </row>
    <row r="352" spans="13:16" x14ac:dyDescent="0.25">
      <c r="M352" s="1">
        <v>46373</v>
      </c>
      <c r="N352">
        <v>1584</v>
      </c>
      <c r="O352">
        <v>2336</v>
      </c>
      <c r="P352" s="2">
        <v>1972.9344262295083</v>
      </c>
    </row>
    <row r="353" spans="13:16" x14ac:dyDescent="0.25">
      <c r="M353" s="1">
        <v>46374</v>
      </c>
      <c r="N353">
        <v>1583</v>
      </c>
      <c r="O353">
        <v>2337</v>
      </c>
      <c r="P353" s="2">
        <v>1977.4918032786886</v>
      </c>
    </row>
    <row r="354" spans="13:16" x14ac:dyDescent="0.25">
      <c r="M354" s="1">
        <v>46375</v>
      </c>
      <c r="N354">
        <v>1581</v>
      </c>
      <c r="O354">
        <v>2338</v>
      </c>
      <c r="P354" s="2">
        <v>1982.032786885246</v>
      </c>
    </row>
    <row r="355" spans="13:16" x14ac:dyDescent="0.25">
      <c r="M355" s="1">
        <v>46376</v>
      </c>
      <c r="N355">
        <v>1572</v>
      </c>
      <c r="O355">
        <v>2339</v>
      </c>
      <c r="P355" s="2">
        <v>1986.4180327868853</v>
      </c>
    </row>
    <row r="356" spans="13:16" x14ac:dyDescent="0.25">
      <c r="M356" s="1">
        <v>46377</v>
      </c>
      <c r="N356">
        <v>1567</v>
      </c>
      <c r="O356">
        <v>2340</v>
      </c>
      <c r="P356" s="2">
        <v>1991.122950819672</v>
      </c>
    </row>
    <row r="357" spans="13:16" x14ac:dyDescent="0.25">
      <c r="M357" s="1">
        <v>46378</v>
      </c>
      <c r="N357">
        <v>1564</v>
      </c>
      <c r="O357">
        <v>2341</v>
      </c>
      <c r="P357" s="2">
        <v>1995.639344262295</v>
      </c>
    </row>
    <row r="358" spans="13:16" x14ac:dyDescent="0.25">
      <c r="M358" s="1">
        <v>46379</v>
      </c>
      <c r="N358">
        <v>1560</v>
      </c>
      <c r="O358">
        <v>2338</v>
      </c>
      <c r="P358" s="2">
        <v>2000.3360655737704</v>
      </c>
    </row>
    <row r="359" spans="13:16" x14ac:dyDescent="0.25">
      <c r="M359" s="1">
        <v>46380</v>
      </c>
      <c r="N359">
        <v>1559</v>
      </c>
      <c r="O359">
        <v>2336</v>
      </c>
      <c r="P359" s="2">
        <v>2005.1311475409836</v>
      </c>
    </row>
    <row r="360" spans="13:16" x14ac:dyDescent="0.25">
      <c r="M360" s="1">
        <v>46381</v>
      </c>
      <c r="N360">
        <v>1560</v>
      </c>
      <c r="O360">
        <v>2337</v>
      </c>
      <c r="P360" s="2">
        <v>2009.7459016393443</v>
      </c>
    </row>
    <row r="361" spans="13:16" x14ac:dyDescent="0.25">
      <c r="M361" s="1">
        <v>46382</v>
      </c>
      <c r="N361">
        <v>1557</v>
      </c>
      <c r="O361">
        <v>2341</v>
      </c>
      <c r="P361" s="2">
        <v>2014.5245901639344</v>
      </c>
    </row>
    <row r="362" spans="13:16" x14ac:dyDescent="0.25">
      <c r="M362" s="1">
        <v>46383</v>
      </c>
      <c r="N362">
        <v>1554</v>
      </c>
      <c r="O362">
        <v>2345</v>
      </c>
      <c r="P362" s="2">
        <v>2019.139344262295</v>
      </c>
    </row>
    <row r="363" spans="13:16" x14ac:dyDescent="0.25">
      <c r="M363" s="1">
        <v>46384</v>
      </c>
      <c r="N363">
        <v>1550</v>
      </c>
      <c r="O363">
        <v>2354</v>
      </c>
      <c r="P363" s="2">
        <v>2024.172131147541</v>
      </c>
    </row>
    <row r="364" spans="13:16" x14ac:dyDescent="0.25">
      <c r="M364" s="1">
        <v>46385</v>
      </c>
      <c r="N364">
        <v>1546</v>
      </c>
      <c r="O364">
        <v>2361</v>
      </c>
      <c r="P364" s="2">
        <v>2029.3688524590164</v>
      </c>
    </row>
    <row r="365" spans="13:16" x14ac:dyDescent="0.25">
      <c r="M365" s="1">
        <v>46386</v>
      </c>
      <c r="N365">
        <v>1543</v>
      </c>
      <c r="O365">
        <v>2369</v>
      </c>
      <c r="P365" s="2">
        <v>2034.2540983606557</v>
      </c>
    </row>
    <row r="366" spans="13:16" x14ac:dyDescent="0.25">
      <c r="M366" s="1">
        <v>46387</v>
      </c>
      <c r="N366">
        <v>1542</v>
      </c>
      <c r="O366">
        <v>2379</v>
      </c>
      <c r="P366" s="2">
        <v>2039.5655737704917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Maximas&amp;Minimas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costa</cp:lastModifiedBy>
  <dcterms:modified xsi:type="dcterms:W3CDTF">2026-01-28T12:08:43Z</dcterms:modified>
</cp:coreProperties>
</file>